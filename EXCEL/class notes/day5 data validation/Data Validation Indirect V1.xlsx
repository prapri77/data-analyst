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5 data validation\"/>
    </mc:Choice>
  </mc:AlternateContent>
  <xr:revisionPtr revIDLastSave="0" documentId="13_ncr:1_{56E9082E-29EC-47FF-AF3F-9C8E5381813A}" xr6:coauthVersionLast="47" xr6:coauthVersionMax="47" xr10:uidLastSave="{00000000-0000-0000-0000-000000000000}"/>
  <bookViews>
    <workbookView xWindow="-108" yWindow="-108" windowWidth="23256" windowHeight="12456" xr2:uid="{FCEC9138-7022-457F-8408-57A88E058698}"/>
  </bookViews>
  <sheets>
    <sheet name="Sheet1" sheetId="1" r:id="rId1"/>
    <sheet name="Sheet2" sheetId="2" r:id="rId2"/>
    <sheet name="Vlookup with NameRng" sheetId="3" r:id="rId3"/>
  </sheets>
  <definedNames>
    <definedName name="Admin">Sheet1!$E$7:$H$7</definedName>
    <definedName name="BaseTbl">'Vlookup with NameRng'!$A$1:$C$11</definedName>
    <definedName name="Finance">Sheet1!$E$8:$H$8</definedName>
    <definedName name="HR">Sheet1!$E$6:$H$6</definedName>
    <definedName name="ID">'Vlookup with NameRng'!$G$4</definedName>
    <definedName name="MyData">Sheet2!$C$4:$C$6</definedName>
    <definedName name="Payroll">Sheet1!$E$9:$H$9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C8" i="2"/>
  <c r="L6" i="1"/>
  <c r="L3" i="1"/>
  <c r="G5" i="3"/>
  <c r="C3" i="3"/>
  <c r="C4" i="3"/>
  <c r="C5" i="3"/>
  <c r="C6" i="3"/>
  <c r="C7" i="3"/>
  <c r="C8" i="3"/>
  <c r="C9" i="3"/>
  <c r="C10" i="3"/>
  <c r="C11" i="3"/>
  <c r="L10" i="1"/>
  <c r="G6" i="3" l="1"/>
</calcChain>
</file>

<file path=xl/sharedStrings.xml><?xml version="1.0" encoding="utf-8"?>
<sst xmlns="http://schemas.openxmlformats.org/spreadsheetml/2006/main" count="52" uniqueCount="43">
  <si>
    <t>Dept</t>
  </si>
  <si>
    <t>HR</t>
  </si>
  <si>
    <t>HR1</t>
  </si>
  <si>
    <t>HR2</t>
  </si>
  <si>
    <t>HR3</t>
  </si>
  <si>
    <t>HR4</t>
  </si>
  <si>
    <t>Admin</t>
  </si>
  <si>
    <t>Admin1</t>
  </si>
  <si>
    <t>Admin2</t>
  </si>
  <si>
    <t>Admin3</t>
  </si>
  <si>
    <t>Admin4</t>
  </si>
  <si>
    <t>Finance</t>
  </si>
  <si>
    <t>Finance1</t>
  </si>
  <si>
    <t>Finance2</t>
  </si>
  <si>
    <t>Finance3</t>
  </si>
  <si>
    <t>Finance4</t>
  </si>
  <si>
    <t>Payroll</t>
  </si>
  <si>
    <t>Payroll1</t>
  </si>
  <si>
    <t>Payroll2</t>
  </si>
  <si>
    <t>Payroll3</t>
  </si>
  <si>
    <t>Payroll4</t>
  </si>
  <si>
    <t>ID</t>
  </si>
  <si>
    <t xml:space="preserve"> =IF($F$13="HR",$E$6:$H$6,IF($F$13="Admin",$E$7:$H$7,IF($F$13="Finance",$E$8:$H$8,$E$9:$H$9)))</t>
  </si>
  <si>
    <t>Name</t>
  </si>
  <si>
    <t>Mark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</si>
  <si>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</si>
  <si>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</si>
  <si>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</si>
  <si>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</si>
  <si>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</si>
  <si>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</si>
  <si>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</si>
  <si>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</si>
  <si>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</si>
  <si>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</si>
  <si>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 xml:space="preserve"> =VLOOKUP(ID,BaseTbl,2,0)</t>
  </si>
  <si>
    <t>Test</t>
  </si>
  <si>
    <t xml:space="preserve"> =B3</t>
  </si>
  <si>
    <t xml:space="preserve"> =ADDRESS(3,2)</t>
  </si>
  <si>
    <t xml:space="preserve"> =INDIRECT(L6)</t>
  </si>
  <si>
    <t xml:space="preserve"> =INDIRECT($H$13)</t>
  </si>
  <si>
    <t xml:space="preserve"> =SUM(C4:C6)</t>
  </si>
  <si>
    <t xml:space="preserve"> =SUM(MyData)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</si>
</sst>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D752-636F-4A0D-8810-EEB9672C7546}">
  <dimension ref="B3:L18"/>
  <sheetViews>
    <sheetView tabSelected="1" workbookViewId="0">
      <selection activeCell="H15" sqref="H15"/>
    </sheetView>
  </sheetViews>
  <sheetFormatPr defaultRowHeight="14.4" x14ac:dyDescent="0.3"/>
  <sheetData>
    <row r="3" spans="2:12" x14ac:dyDescent="0.3">
      <c r="B3" s="4" t="s">
        <v>36</v>
      </c>
      <c r="L3" t="str">
        <f>B3</f>
        <v>Test</v>
      </c>
    </row>
    <row r="4" spans="2:12" x14ac:dyDescent="0.3">
      <c r="L4" t="s">
        <v>37</v>
      </c>
    </row>
    <row r="5" spans="2:12" x14ac:dyDescent="0.3">
      <c r="D5" t="s">
        <v>0</v>
      </c>
    </row>
    <row r="6" spans="2:12" x14ac:dyDescent="0.3">
      <c r="D6" s="1" t="s">
        <v>1</v>
      </c>
      <c r="E6" s="2" t="s">
        <v>2</v>
      </c>
      <c r="F6" s="2" t="s">
        <v>3</v>
      </c>
      <c r="G6" s="2" t="s">
        <v>4</v>
      </c>
      <c r="H6" s="2" t="s">
        <v>5</v>
      </c>
      <c r="L6" t="str">
        <f>ADDRESS(3,2)</f>
        <v>$B$3</v>
      </c>
    </row>
    <row r="7" spans="2:12" x14ac:dyDescent="0.3">
      <c r="D7" s="1" t="s">
        <v>6</v>
      </c>
      <c r="E7" s="2" t="s">
        <v>7</v>
      </c>
      <c r="F7" s="2" t="s">
        <v>8</v>
      </c>
      <c r="G7" s="2" t="s">
        <v>9</v>
      </c>
      <c r="H7" s="2" t="s">
        <v>10</v>
      </c>
      <c r="L7" t="s">
        <v>38</v>
      </c>
    </row>
    <row r="8" spans="2:12" x14ac:dyDescent="0.3">
      <c r="D8" s="1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2:12" x14ac:dyDescent="0.3">
      <c r="D9" s="1" t="s">
        <v>16</v>
      </c>
      <c r="E9" s="2" t="s">
        <v>17</v>
      </c>
      <c r="F9" s="2" t="s">
        <v>18</v>
      </c>
      <c r="G9" s="2" t="s">
        <v>19</v>
      </c>
      <c r="H9" s="2" t="s">
        <v>20</v>
      </c>
    </row>
    <row r="10" spans="2:12" x14ac:dyDescent="0.3">
      <c r="L10" t="str">
        <f ca="1">INDIRECT(L6)</f>
        <v>Test</v>
      </c>
    </row>
    <row r="11" spans="2:12" x14ac:dyDescent="0.3">
      <c r="L11" t="s">
        <v>39</v>
      </c>
    </row>
    <row r="13" spans="2:12" x14ac:dyDescent="0.3">
      <c r="D13" t="s">
        <v>0</v>
      </c>
      <c r="F13" s="1" t="s">
        <v>1</v>
      </c>
      <c r="H13" s="1" t="s">
        <v>1</v>
      </c>
    </row>
    <row r="15" spans="2:12" x14ac:dyDescent="0.3">
      <c r="D15" t="s">
        <v>21</v>
      </c>
      <c r="F15" s="2" t="s">
        <v>14</v>
      </c>
      <c r="H15" s="2" t="s">
        <v>2</v>
      </c>
    </row>
    <row r="16" spans="2:12" x14ac:dyDescent="0.3">
      <c r="H16" s="3" t="s">
        <v>40</v>
      </c>
    </row>
    <row r="18" spans="6:6" x14ac:dyDescent="0.3">
      <c r="F18" s="3" t="s">
        <v>22</v>
      </c>
    </row>
  </sheetData>
  <dataValidations count="3">
    <dataValidation type="list" allowBlank="1" showInputMessage="1" showErrorMessage="1" sqref="F13 H13" xr:uid="{37653E9D-C69A-4C9B-A6D3-12057F024685}">
      <formula1>$D$6:$D$9</formula1>
    </dataValidation>
    <dataValidation type="list" allowBlank="1" showInputMessage="1" showErrorMessage="1" sqref="F15" xr:uid="{5B1E1434-DD18-4561-A09B-C0413728F5AF}">
      <formula1>IF($F$13="HR",$E$6:$H$6,IF($F$13="Admin",$E$7:$H$7,IF($F$13="Finance",$E$8:$H$8,$E$9:$H$9)))</formula1>
    </dataValidation>
    <dataValidation type="list" allowBlank="1" showInputMessage="1" showErrorMessage="1" sqref="H15" xr:uid="{416581A1-4FF7-47FB-9D47-39A5924BF1A3}">
      <formula1>INDIRECT($H$13)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5CB0-2A31-4BCA-B9C9-837594108C58}">
  <dimension ref="C4:E10"/>
  <sheetViews>
    <sheetView workbookViewId="0">
      <selection activeCell="E8" sqref="E8"/>
    </sheetView>
  </sheetViews>
  <sheetFormatPr defaultRowHeight="14.4" x14ac:dyDescent="0.3"/>
  <sheetData>
    <row r="4" spans="3:5" x14ac:dyDescent="0.3">
      <c r="C4" s="1">
        <v>10</v>
      </c>
    </row>
    <row r="5" spans="3:5" x14ac:dyDescent="0.3">
      <c r="C5" s="1">
        <v>15</v>
      </c>
    </row>
    <row r="6" spans="3:5" x14ac:dyDescent="0.3">
      <c r="C6" s="1">
        <v>20</v>
      </c>
    </row>
    <row r="8" spans="3:5" x14ac:dyDescent="0.3">
      <c r="C8" s="2">
        <f>SUM(C4:C6)</f>
        <v>45</v>
      </c>
      <c r="E8">
        <f>SUM(MyData)</f>
        <v>45</v>
      </c>
    </row>
    <row r="10" spans="3:5" x14ac:dyDescent="0.3">
      <c r="C10" t="s">
        <v>41</v>
      </c>
      <c r="E1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AF40-F2CD-4486-A44A-23DBA5A46C9E}">
  <dimension ref="A1:G11"/>
  <sheetViews>
    <sheetView workbookViewId="0">
      <selection activeCell="G4" sqref="G4"/>
    </sheetView>
  </sheetViews>
  <sheetFormatPr defaultRowHeight="14.4" x14ac:dyDescent="0.3"/>
  <sheetData>
    <row r="1" spans="1:7" ht="15" thickBot="1" x14ac:dyDescent="0.35">
      <c r="A1" s="5" t="s">
        <v>21</v>
      </c>
      <c r="B1" s="6" t="s">
        <v>23</v>
      </c>
      <c r="C1" s="7" t="s">
        <v>24</v>
      </c>
    </row>
    <row r="2" spans="1:7" x14ac:dyDescent="0.3">
      <c r="A2" s="8">
        <v>1001</v>
      </c>
      <c r="B2" s="9" t="s">
        <v>25</v>
      </c>
      <c r="C2" s="10">
        <v>100</v>
      </c>
    </row>
    <row r="3" spans="1:7" x14ac:dyDescent="0.3">
      <c r="A3" s="11">
        <v>1002</v>
      </c>
      <c r="B3" s="12" t="s">
        <v>26</v>
      </c>
      <c r="C3" s="13">
        <f t="shared" ref="C3:C11" ca="1" si="0">RANDBETWEEN(1,100)</f>
        <v>90</v>
      </c>
    </row>
    <row r="4" spans="1:7" x14ac:dyDescent="0.3">
      <c r="A4" s="11">
        <v>1003</v>
      </c>
      <c r="B4" s="12" t="s">
        <v>27</v>
      </c>
      <c r="C4" s="13">
        <f t="shared" ca="1" si="0"/>
        <v>3</v>
      </c>
      <c r="F4" t="s">
        <v>21</v>
      </c>
      <c r="G4" s="1">
        <v>1003</v>
      </c>
    </row>
    <row r="5" spans="1:7" x14ac:dyDescent="0.3">
      <c r="A5" s="11">
        <v>1004</v>
      </c>
      <c r="B5" s="12" t="s">
        <v>28</v>
      </c>
      <c r="C5" s="13">
        <f t="shared" ca="1" si="0"/>
        <v>10</v>
      </c>
      <c r="F5" t="s">
        <v>23</v>
      </c>
      <c r="G5" s="17" t="str">
        <f>VLOOKUP(ID,BaseTbl,2,0)</f>
        <v>Nme3</v>
      </c>
    </row>
    <row r="6" spans="1:7" x14ac:dyDescent="0.3">
      <c r="A6" s="11">
        <v>1005</v>
      </c>
      <c r="B6" s="12" t="s">
        <v>29</v>
      </c>
      <c r="C6" s="13">
        <f t="shared" ca="1" si="0"/>
        <v>93</v>
      </c>
      <c r="F6" t="s">
        <v>24</v>
      </c>
      <c r="G6" s="2">
        <f ca="1">VLOOKUP(ID,BaseTbl,3,0)</f>
        <v>3</v>
      </c>
    </row>
    <row r="7" spans="1:7" x14ac:dyDescent="0.3">
      <c r="A7" s="11">
        <v>1006</v>
      </c>
      <c r="B7" s="12" t="s">
        <v>30</v>
      </c>
      <c r="C7" s="13">
        <f t="shared" ca="1" si="0"/>
        <v>47</v>
      </c>
    </row>
    <row r="8" spans="1:7" x14ac:dyDescent="0.3">
      <c r="A8" s="11">
        <v>1007</v>
      </c>
      <c r="B8" s="12" t="s">
        <v>31</v>
      </c>
      <c r="C8" s="13">
        <f t="shared" ca="1" si="0"/>
        <v>71</v>
      </c>
      <c r="G8" t="s">
        <v>35</v>
      </c>
    </row>
    <row r="9" spans="1:7" x14ac:dyDescent="0.3">
      <c r="A9" s="11">
        <v>1008</v>
      </c>
      <c r="B9" s="12" t="s">
        <v>32</v>
      </c>
      <c r="C9" s="13">
        <f t="shared" ca="1" si="0"/>
        <v>12</v>
      </c>
    </row>
    <row r="10" spans="1:7" x14ac:dyDescent="0.3">
      <c r="A10" s="11">
        <v>1009</v>
      </c>
      <c r="B10" s="12" t="s">
        <v>33</v>
      </c>
      <c r="C10" s="13">
        <f t="shared" ca="1" si="0"/>
        <v>91</v>
      </c>
    </row>
    <row r="11" spans="1:7" ht="15" thickBot="1" x14ac:dyDescent="0.35">
      <c r="A11" s="14">
        <v>1010</v>
      </c>
      <c r="B11" s="15" t="s">
        <v>34</v>
      </c>
      <c r="C11" s="16">
        <f t="shared" ca="1" si="0"/>
        <v>40</v>
      </c>
    </row>
  </sheetData>
  <phoneticPr fontId="2" type="noConversion"/>
  <dataValidations count="1">
    <dataValidation type="list" allowBlank="1" showInputMessage="1" showErrorMessage="1" sqref="G4" xr:uid="{2141D349-78C1-4E59-8A68-7B48FB8242CB}">
      <formula1>$A$2:$A$11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Vlookup with NameRng</vt:lpstr>
      <vt:lpstr>Admin</vt:lpstr>
      <vt:lpstr>BaseTbl</vt:lpstr>
      <vt:lpstr>Finance</vt:lpstr>
      <vt:lpstr>HR</vt:lpstr>
      <vt:lpstr>ID</vt:lpstr>
      <vt:lpstr>MyData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2024-01-07T14:40:08Z</dcterms:created>
  <dcterms:modified xsi:type="dcterms:W3CDTF">2025-09-24T12:08:36Z</dcterms:modified>
</cp:coreProperties>
</file>