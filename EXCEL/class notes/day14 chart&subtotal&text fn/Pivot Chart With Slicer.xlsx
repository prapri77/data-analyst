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analyst\EXCEL\class notes\day14 chart&amp;subtotal&amp;text fn\"/>
    </mc:Choice>
  </mc:AlternateContent>
  <xr:revisionPtr revIDLastSave="0" documentId="13_ncr:1_{339999ED-D6A3-4488-BC15-3C2D11624F16}" xr6:coauthVersionLast="47" xr6:coauthVersionMax="47" xr10:uidLastSave="{00000000-0000-0000-0000-000000000000}"/>
  <bookViews>
    <workbookView xWindow="-108" yWindow="-108" windowWidth="23256" windowHeight="12456" firstSheet="4" activeTab="11" xr2:uid="{B4366F07-239D-45C0-B5C3-4EE09EB05546}"/>
  </bookViews>
  <sheets>
    <sheet name="Pivot pie chart" sheetId="4" r:id="rId1"/>
    <sheet name="Pivot column bar chart" sheetId="3" r:id="rId2"/>
    <sheet name="Sheet1" sheetId="1" r:id="rId3"/>
    <sheet name="Sheet1 (2)" sheetId="6" r:id="rId4"/>
    <sheet name="Sheet2" sheetId="7" r:id="rId5"/>
    <sheet name="Sheet3" sheetId="5" r:id="rId6"/>
    <sheet name="Sheet4" sheetId="12" r:id="rId7"/>
    <sheet name="Sheet5" sheetId="13" r:id="rId8"/>
    <sheet name="Sheet7" sheetId="11" r:id="rId9"/>
    <sheet name="Pivot with chart" sheetId="9" r:id="rId10"/>
    <sheet name="Pivot calculate" sheetId="10" r:id="rId11"/>
    <sheet name="Database" sheetId="8" r:id="rId12"/>
  </sheets>
  <definedNames>
    <definedName name="_xlnm._FilterDatabase" localSheetId="11" hidden="1">Database!$A$1:$F$31</definedName>
    <definedName name="_xlnm._FilterDatabase" localSheetId="2" hidden="1">Sheet1!$A$1:$F$31</definedName>
    <definedName name="_xlnm._FilterDatabase" localSheetId="3" hidden="1">'Sheet1 (2)'!$A$1:$F$31</definedName>
    <definedName name="Slicer_Class">#N/A</definedName>
    <definedName name="Slicer_Class1">#N/A</definedName>
    <definedName name="Slicer_Class2">#N/A</definedName>
    <definedName name="Slicer_Class3">#N/A</definedName>
    <definedName name="Slicer_Result">#N/A</definedName>
    <definedName name="Slicer_Result1">#N/A</definedName>
  </definedNames>
  <calcPr calcId="191029"/>
  <pivotCaches>
    <pivotCache cacheId="0" r:id="rId13"/>
    <pivotCache cacheId="2" r:id="rId14"/>
    <pivotCache cacheId="9"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2" l="1"/>
  <c r="C4" i="12"/>
  <c r="D4" i="12"/>
  <c r="C5" i="12"/>
  <c r="D5" i="12"/>
  <c r="C6" i="12"/>
  <c r="D6" i="12"/>
  <c r="B5" i="12"/>
  <c r="B6" i="12"/>
  <c r="K15" i="7"/>
  <c r="U15" i="7" s="1"/>
  <c r="AE15" i="7" s="1"/>
  <c r="J15" i="7"/>
  <c r="T15" i="7" s="1"/>
  <c r="AD15" i="7" s="1"/>
  <c r="I15" i="7"/>
  <c r="S15" i="7" s="1"/>
  <c r="AC15" i="7" s="1"/>
  <c r="H15" i="7"/>
  <c r="R15" i="7" s="1"/>
  <c r="AB15" i="7" s="1"/>
  <c r="G15" i="7"/>
  <c r="Q15" i="7" s="1"/>
  <c r="AA15" i="7" s="1"/>
  <c r="F15" i="7"/>
  <c r="P15" i="7" s="1"/>
  <c r="Z15" i="7" s="1"/>
  <c r="E15" i="7"/>
  <c r="O15" i="7" s="1"/>
  <c r="Y15" i="7" s="1"/>
  <c r="D15" i="7"/>
  <c r="N15" i="7" s="1"/>
  <c r="X15" i="7" s="1"/>
  <c r="C15" i="7"/>
  <c r="M15" i="7" s="1"/>
  <c r="W15" i="7" s="1"/>
  <c r="B15" i="7"/>
  <c r="L15" i="7" s="1"/>
  <c r="V15" i="7" s="1"/>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B14"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B13" i="7"/>
  <c r="K13" i="8"/>
  <c r="E31" i="8"/>
  <c r="D31" i="8"/>
  <c r="E30" i="8"/>
  <c r="D30" i="8"/>
  <c r="E29" i="8"/>
  <c r="D29" i="8"/>
  <c r="E28" i="8"/>
  <c r="D28" i="8"/>
  <c r="E27" i="8"/>
  <c r="D27" i="8"/>
  <c r="E26" i="8"/>
  <c r="D26" i="8"/>
  <c r="E25" i="8"/>
  <c r="D25" i="8"/>
  <c r="E24" i="8"/>
  <c r="D24" i="8"/>
  <c r="E23" i="8"/>
  <c r="D23" i="8"/>
  <c r="E22" i="8"/>
  <c r="D22" i="8"/>
  <c r="E21" i="8"/>
  <c r="D21" i="8"/>
  <c r="E20" i="8"/>
  <c r="D20" i="8"/>
  <c r="E19" i="8"/>
  <c r="D19" i="8"/>
  <c r="E18" i="8"/>
  <c r="D18" i="8"/>
  <c r="E17" i="8"/>
  <c r="D17" i="8"/>
  <c r="E16" i="8"/>
  <c r="D16" i="8"/>
  <c r="E15" i="8"/>
  <c r="D15" i="8"/>
  <c r="E14" i="8"/>
  <c r="D14" i="8"/>
  <c r="E13" i="8"/>
  <c r="D13" i="8"/>
  <c r="E12" i="8"/>
  <c r="D12" i="8"/>
  <c r="F11" i="8"/>
  <c r="F21" i="8" s="1"/>
  <c r="F31" i="8" s="1"/>
  <c r="E11" i="8"/>
  <c r="D11" i="8"/>
  <c r="F10" i="8"/>
  <c r="F20" i="8" s="1"/>
  <c r="F30" i="8" s="1"/>
  <c r="E10" i="8"/>
  <c r="D10" i="8"/>
  <c r="F9" i="8"/>
  <c r="F19" i="8" s="1"/>
  <c r="F29" i="8" s="1"/>
  <c r="E9" i="8"/>
  <c r="D9" i="8"/>
  <c r="F8" i="8"/>
  <c r="F18" i="8" s="1"/>
  <c r="F28" i="8" s="1"/>
  <c r="E8" i="8"/>
  <c r="D8" i="8"/>
  <c r="F7" i="8"/>
  <c r="F17" i="8" s="1"/>
  <c r="F27" i="8" s="1"/>
  <c r="E7" i="8"/>
  <c r="D7" i="8"/>
  <c r="F6" i="8"/>
  <c r="F16" i="8" s="1"/>
  <c r="F26" i="8" s="1"/>
  <c r="E6" i="8"/>
  <c r="D6" i="8"/>
  <c r="F5" i="8"/>
  <c r="F15" i="8" s="1"/>
  <c r="F25" i="8" s="1"/>
  <c r="E5" i="8"/>
  <c r="D5" i="8"/>
  <c r="F4" i="8"/>
  <c r="F14" i="8" s="1"/>
  <c r="F24" i="8" s="1"/>
  <c r="E4" i="8"/>
  <c r="D4" i="8"/>
  <c r="F3" i="8"/>
  <c r="F13" i="8" s="1"/>
  <c r="F23" i="8" s="1"/>
  <c r="E3" i="8"/>
  <c r="D3" i="8"/>
  <c r="F2" i="8"/>
  <c r="F12" i="8" s="1"/>
  <c r="F22" i="8" s="1"/>
  <c r="E2" i="8"/>
  <c r="D2" i="8"/>
  <c r="K6" i="7"/>
  <c r="U6" i="7" s="1"/>
  <c r="AE6" i="7" s="1"/>
  <c r="J6" i="7"/>
  <c r="T6" i="7" s="1"/>
  <c r="AD6" i="7" s="1"/>
  <c r="I6" i="7"/>
  <c r="S6" i="7" s="1"/>
  <c r="AC6" i="7" s="1"/>
  <c r="H6" i="7"/>
  <c r="R6" i="7" s="1"/>
  <c r="AB6" i="7" s="1"/>
  <c r="G6" i="7"/>
  <c r="Q6" i="7" s="1"/>
  <c r="AA6" i="7" s="1"/>
  <c r="F6" i="7"/>
  <c r="P6" i="7" s="1"/>
  <c r="Z6" i="7" s="1"/>
  <c r="E6" i="7"/>
  <c r="O6" i="7" s="1"/>
  <c r="Y6" i="7" s="1"/>
  <c r="D6" i="7"/>
  <c r="N6" i="7" s="1"/>
  <c r="X6" i="7" s="1"/>
  <c r="C6" i="7"/>
  <c r="M6" i="7" s="1"/>
  <c r="W6" i="7" s="1"/>
  <c r="B6" i="7"/>
  <c r="L6" i="7" s="1"/>
  <c r="V6" i="7" s="1"/>
  <c r="AE5" i="7"/>
  <c r="AD5" i="7"/>
  <c r="AC5" i="7"/>
  <c r="AB5" i="7"/>
  <c r="AA5" i="7"/>
  <c r="Z5" i="7"/>
  <c r="Y5" i="7"/>
  <c r="X5" i="7"/>
  <c r="W5" i="7"/>
  <c r="V5" i="7"/>
  <c r="U5" i="7"/>
  <c r="T5" i="7"/>
  <c r="S5" i="7"/>
  <c r="R5" i="7"/>
  <c r="Q5" i="7"/>
  <c r="P5" i="7"/>
  <c r="O5" i="7"/>
  <c r="N5" i="7"/>
  <c r="M5" i="7"/>
  <c r="L5" i="7"/>
  <c r="K5" i="7"/>
  <c r="J5" i="7"/>
  <c r="I5" i="7"/>
  <c r="H5" i="7"/>
  <c r="G5" i="7"/>
  <c r="F5" i="7"/>
  <c r="E5" i="7"/>
  <c r="D5" i="7"/>
  <c r="C5" i="7"/>
  <c r="B5" i="7"/>
  <c r="AE4" i="7"/>
  <c r="AD4" i="7"/>
  <c r="AC4" i="7"/>
  <c r="AB4" i="7"/>
  <c r="AA4" i="7"/>
  <c r="Z4" i="7"/>
  <c r="Y4" i="7"/>
  <c r="X4" i="7"/>
  <c r="W4" i="7"/>
  <c r="V4" i="7"/>
  <c r="U4" i="7"/>
  <c r="T4" i="7"/>
  <c r="S4" i="7"/>
  <c r="R4" i="7"/>
  <c r="Q4" i="7"/>
  <c r="P4" i="7"/>
  <c r="O4" i="7"/>
  <c r="N4" i="7"/>
  <c r="M4" i="7"/>
  <c r="L4" i="7"/>
  <c r="K4" i="7"/>
  <c r="J4" i="7"/>
  <c r="I4" i="7"/>
  <c r="H4" i="7"/>
  <c r="G4" i="7"/>
  <c r="F4" i="7"/>
  <c r="E4" i="7"/>
  <c r="D4" i="7"/>
  <c r="C4" i="7"/>
  <c r="B4" i="7"/>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F11" i="6"/>
  <c r="F21" i="6" s="1"/>
  <c r="F31" i="6" s="1"/>
  <c r="E11" i="6"/>
  <c r="D11" i="6"/>
  <c r="F10" i="6"/>
  <c r="F20" i="6" s="1"/>
  <c r="F30" i="6" s="1"/>
  <c r="E10" i="6"/>
  <c r="D10" i="6"/>
  <c r="F9" i="6"/>
  <c r="F19" i="6" s="1"/>
  <c r="F29" i="6" s="1"/>
  <c r="E9" i="6"/>
  <c r="D9" i="6"/>
  <c r="F8" i="6"/>
  <c r="F18" i="6" s="1"/>
  <c r="F28" i="6" s="1"/>
  <c r="E8" i="6"/>
  <c r="D8" i="6"/>
  <c r="F7" i="6"/>
  <c r="F17" i="6" s="1"/>
  <c r="F27" i="6" s="1"/>
  <c r="E7" i="6"/>
  <c r="D7" i="6"/>
  <c r="F6" i="6"/>
  <c r="F16" i="6" s="1"/>
  <c r="F26" i="6" s="1"/>
  <c r="E6" i="6"/>
  <c r="D6" i="6"/>
  <c r="F5" i="6"/>
  <c r="F15" i="6" s="1"/>
  <c r="F25" i="6" s="1"/>
  <c r="E5" i="6"/>
  <c r="D5" i="6"/>
  <c r="F4" i="6"/>
  <c r="F14" i="6" s="1"/>
  <c r="F24" i="6" s="1"/>
  <c r="E4" i="6"/>
  <c r="D4" i="6"/>
  <c r="F3" i="6"/>
  <c r="F13" i="6" s="1"/>
  <c r="F23" i="6" s="1"/>
  <c r="E3" i="6"/>
  <c r="D3" i="6"/>
  <c r="F2" i="6"/>
  <c r="F12" i="6" s="1"/>
  <c r="F22" i="6" s="1"/>
  <c r="E2" i="6"/>
  <c r="D2" i="6"/>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2" i="1"/>
  <c r="B31" i="4"/>
  <c r="H13" i="1"/>
  <c r="H14" i="1" s="1"/>
  <c r="H15" i="1" s="1"/>
  <c r="J16" i="1"/>
  <c r="K16" i="1"/>
  <c r="L16" i="1"/>
  <c r="M16" i="1"/>
  <c r="N16" i="1"/>
  <c r="O16" i="1"/>
  <c r="P16" i="1"/>
  <c r="Q16" i="1"/>
  <c r="R16" i="1"/>
  <c r="I16" i="1"/>
  <c r="S16" i="1"/>
  <c r="F2" i="1"/>
  <c r="F12" i="1" s="1"/>
  <c r="F22" i="1" s="1"/>
  <c r="F3" i="1"/>
  <c r="F13" i="1" s="1"/>
  <c r="F23" i="1" s="1"/>
  <c r="F4" i="1"/>
  <c r="F14" i="1" s="1"/>
  <c r="F24" i="1" s="1"/>
  <c r="F5" i="1"/>
  <c r="F15" i="1" s="1"/>
  <c r="F25" i="1" s="1"/>
  <c r="F6" i="1"/>
  <c r="F16" i="1" s="1"/>
  <c r="F26" i="1" s="1"/>
  <c r="F7" i="1"/>
  <c r="F17" i="1" s="1"/>
  <c r="F27" i="1" s="1"/>
  <c r="F8" i="1"/>
  <c r="F18" i="1" s="1"/>
  <c r="F28" i="1" s="1"/>
  <c r="F9" i="1"/>
  <c r="F19" i="1" s="1"/>
  <c r="F29" i="1" s="1"/>
  <c r="F10" i="1"/>
  <c r="F20" i="1" s="1"/>
  <c r="F30" i="1" s="1"/>
  <c r="F11" i="1"/>
  <c r="F21" i="1" s="1"/>
  <c r="F31" i="1"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2" i="1"/>
  <c r="G4" i="12" l="1" a="1"/>
  <c r="H6" i="12" s="1"/>
  <c r="O15" i="1"/>
  <c r="N15" i="1"/>
  <c r="O14" i="1"/>
  <c r="Q13" i="1"/>
  <c r="P13" i="1"/>
  <c r="I13" i="1"/>
  <c r="M15" i="1"/>
  <c r="N14" i="1"/>
  <c r="O13" i="1"/>
  <c r="I15" i="1"/>
  <c r="L15" i="1"/>
  <c r="M14" i="1"/>
  <c r="N13" i="1"/>
  <c r="I14" i="1"/>
  <c r="K15" i="1"/>
  <c r="L14" i="1"/>
  <c r="M13" i="1"/>
  <c r="R15" i="1"/>
  <c r="J15" i="1"/>
  <c r="K14" i="1"/>
  <c r="L13" i="1"/>
  <c r="P14" i="1"/>
  <c r="Q15" i="1"/>
  <c r="R14" i="1"/>
  <c r="J14" i="1"/>
  <c r="K13" i="1"/>
  <c r="P15" i="1"/>
  <c r="Q14" i="1"/>
  <c r="R13" i="1"/>
  <c r="J13" i="1"/>
  <c r="S15" i="1"/>
  <c r="S13" i="1"/>
  <c r="T13" i="1"/>
  <c r="S14" i="1"/>
  <c r="G6" i="12" l="1"/>
  <c r="H5" i="12"/>
  <c r="G5" i="12"/>
  <c r="I4" i="12"/>
  <c r="I6" i="12"/>
  <c r="H4" i="12"/>
  <c r="G4" i="12"/>
  <c r="I5" i="12"/>
</calcChain>
</file>

<file path=xl/sharedStrings.xml><?xml version="1.0" encoding="utf-8"?>
<sst xmlns="http://schemas.openxmlformats.org/spreadsheetml/2006/main" count="375" uniqueCount="48">
  <si>
    <t>ID</t>
  </si>
  <si>
    <t>Name</t>
  </si>
  <si>
    <t>Mark</t>
  </si>
  <si>
    <t>Result</t>
  </si>
  <si>
    <t>Date</t>
  </si>
  <si>
    <t>Nme1</t>
  </si>
  <si>
    <t>Nme2</t>
  </si>
  <si>
    <t>Nme3</t>
  </si>
  <si>
    <t>Nme4</t>
  </si>
  <si>
    <t>Nme5</t>
  </si>
  <si>
    <t>Nme6</t>
  </si>
  <si>
    <t>Nme7</t>
  </si>
  <si>
    <t>Nme8</t>
  </si>
  <si>
    <t>Nme9</t>
  </si>
  <si>
    <t>Nme10</t>
  </si>
  <si>
    <t>Sum of Mark</t>
  </si>
  <si>
    <t>Row Labels</t>
  </si>
  <si>
    <t>Grand Total</t>
  </si>
  <si>
    <t>Column Labels</t>
  </si>
  <si>
    <t>Pass</t>
  </si>
  <si>
    <t>Fail</t>
  </si>
  <si>
    <t>Alt J T I D</t>
  </si>
  <si>
    <t>To check pivot table source</t>
  </si>
  <si>
    <t>select the pivot table</t>
  </si>
  <si>
    <t>Class</t>
  </si>
  <si>
    <t>To Refresh pivot table =&gt; Alt A R A</t>
  </si>
  <si>
    <t>(All)</t>
  </si>
  <si>
    <t>Average of Mark</t>
  </si>
  <si>
    <t>To Freeze the heading Row/Column</t>
  </si>
  <si>
    <t>Step 1</t>
  </si>
  <si>
    <t>Click on table value starting cell (B2)</t>
  </si>
  <si>
    <t>Step 2</t>
  </si>
  <si>
    <t>Alt W F F</t>
  </si>
  <si>
    <t>(Multiple Items)</t>
  </si>
  <si>
    <t>Bonue 10</t>
  </si>
  <si>
    <t>Total Sum of Mark</t>
  </si>
  <si>
    <t>Total Sum of Mark_With_Bonue</t>
  </si>
  <si>
    <t>Sum of Mark_With_Bonue</t>
  </si>
  <si>
    <t>Jan</t>
  </si>
  <si>
    <t>Feb</t>
  </si>
  <si>
    <t>Mar</t>
  </si>
  <si>
    <t>A1</t>
  </si>
  <si>
    <t>A2</t>
  </si>
  <si>
    <t>A3</t>
  </si>
  <si>
    <t>To check the pivot table source =&gt; Alt J T I D</t>
  </si>
  <si>
    <t>Click on pivot</t>
  </si>
  <si>
    <t>First class</t>
  </si>
  <si>
    <t>Disctinction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</si>
</sst>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1"/>
      <color rgb="FFFF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00B0F0"/>
        <bgColor theme="4" tint="0.79998168889431442"/>
      </patternFill>
    </fill>
    <fill>
      <patternFill patternType="solid">
        <fgColor rgb="FF00B0F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4" tint="0.39997558519241921"/>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14" fontId="0" fillId="0" borderId="0" xfId="0" applyNumberFormat="1"/>
    <xf numFmtId="14" fontId="0" fillId="2" borderId="0" xfId="0" applyNumberFormat="1" applyFill="1"/>
    <xf numFmtId="0" fontId="1" fillId="3" borderId="1" xfId="0" applyFont="1" applyFill="1" applyBorder="1"/>
    <xf numFmtId="0" fontId="0" fillId="0" borderId="0" xfId="0" pivotButton="1"/>
    <xf numFmtId="14" fontId="0" fillId="0" borderId="0" xfId="0" applyNumberFormat="1" applyAlignment="1">
      <alignment horizontal="left"/>
    </xf>
    <xf numFmtId="14" fontId="1" fillId="3" borderId="2" xfId="0" applyNumberFormat="1" applyFont="1" applyFill="1" applyBorder="1" applyAlignment="1">
      <alignment horizontal="left"/>
    </xf>
    <xf numFmtId="0" fontId="1" fillId="3" borderId="2" xfId="0" applyFont="1" applyFill="1" applyBorder="1"/>
    <xf numFmtId="0" fontId="1" fillId="2" borderId="2" xfId="0" applyFont="1" applyFill="1" applyBorder="1"/>
    <xf numFmtId="0" fontId="0" fillId="4" borderId="0" xfId="0" applyFill="1"/>
    <xf numFmtId="0" fontId="1" fillId="5" borderId="2" xfId="0" applyFont="1" applyFill="1" applyBorder="1"/>
    <xf numFmtId="0" fontId="0" fillId="6" borderId="0" xfId="0" applyFill="1"/>
    <xf numFmtId="0" fontId="0" fillId="7" borderId="0" xfId="0" applyFill="1"/>
    <xf numFmtId="0" fontId="0" fillId="0" borderId="0" xfId="0" applyAlignment="1">
      <alignment horizontal="left"/>
    </xf>
    <xf numFmtId="0" fontId="1" fillId="3" borderId="2" xfId="0" applyFont="1" applyFill="1" applyBorder="1" applyAlignment="1">
      <alignment horizontal="left"/>
    </xf>
    <xf numFmtId="0" fontId="1" fillId="4" borderId="2" xfId="0" applyFont="1" applyFill="1" applyBorder="1"/>
    <xf numFmtId="0" fontId="0" fillId="2" borderId="0" xfId="0" applyFill="1"/>
    <xf numFmtId="1" fontId="0" fillId="0" borderId="0" xfId="0" applyNumberFormat="1"/>
    <xf numFmtId="0" fontId="1" fillId="8" borderId="0" xfId="0" applyFont="1" applyFill="1"/>
    <xf numFmtId="0" fontId="1" fillId="0" borderId="0" xfId="0" applyFont="1"/>
    <xf numFmtId="0" fontId="1" fillId="8"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0" fillId="6" borderId="0" xfId="0" applyFill="1" applyAlignment="1">
      <alignment horizontal="center"/>
    </xf>
    <xf numFmtId="14" fontId="0" fillId="0" borderId="0" xfId="0" applyNumberFormat="1" applyAlignment="1">
      <alignment horizontal="center"/>
    </xf>
    <xf numFmtId="14" fontId="0" fillId="2" borderId="0" xfId="0" applyNumberFormat="1" applyFill="1" applyAlignment="1">
      <alignment horizontal="center"/>
    </xf>
    <xf numFmtId="0" fontId="3" fillId="0" borderId="0" xfId="0" applyFont="1"/>
    <xf numFmtId="0" fontId="1" fillId="8" borderId="0" xfId="0" applyFont="1" applyFill="1" applyAlignment="1">
      <alignment horizontal="center" vertical="center" wrapText="1"/>
    </xf>
    <xf numFmtId="0" fontId="0" fillId="0" borderId="3" xfId="0" applyBorder="1"/>
    <xf numFmtId="0" fontId="0" fillId="6" borderId="3" xfId="0" applyFill="1" applyBorder="1"/>
    <xf numFmtId="0" fontId="1" fillId="2" borderId="3" xfId="0" applyFont="1" applyFill="1" applyBorder="1" applyAlignment="1">
      <alignment horizontal="center"/>
    </xf>
    <xf numFmtId="15" fontId="0" fillId="0" borderId="3" xfId="0" applyNumberFormat="1" applyBorder="1"/>
    <xf numFmtId="15" fontId="0" fillId="2" borderId="3" xfId="0" applyNumberFormat="1" applyFill="1" applyBorder="1"/>
    <xf numFmtId="0" fontId="0" fillId="4" borderId="3" xfId="0" applyFill="1" applyBorder="1"/>
    <xf numFmtId="0" fontId="0" fillId="9" borderId="0" xfId="0" applyFill="1"/>
    <xf numFmtId="0" fontId="0" fillId="0" borderId="0" xfId="0" applyNumberFormat="1"/>
    <xf numFmtId="0" fontId="0" fillId="2" borderId="0" xfId="0" applyNumberFormat="1" applyFill="1"/>
    <xf numFmtId="0" fontId="0" fillId="4" borderId="0" xfId="0" applyNumberFormat="1" applyFill="1"/>
    <xf numFmtId="0" fontId="0" fillId="6" borderId="0" xfId="0" applyNumberFormat="1" applyFill="1"/>
  </cellXfs>
  <cellStyles count="1">
    <cellStyle name="Normal" xfId="0" builtinId="0"/>
  </cellStyles>
  <dxfs count="16">
    <dxf>
      <fill>
        <patternFill patternType="solid">
          <bgColor rgb="FFFFC000"/>
        </patternFill>
      </fill>
    </dxf>
    <dxf>
      <fill>
        <patternFill patternType="solid">
          <bgColor rgb="FFFFFF00"/>
        </patternFill>
      </fill>
    </dxf>
    <dxf>
      <numFmt numFmtId="1" formatCode="0"/>
    </dxf>
    <dxf>
      <fill>
        <patternFill patternType="solid">
          <bgColor rgb="FFFFC000"/>
        </patternFill>
      </fill>
    </dxf>
    <dxf>
      <fill>
        <patternFill patternType="solid">
          <bgColor rgb="FFFFFF00"/>
        </patternFill>
      </fill>
    </dxf>
    <dxf>
      <fill>
        <patternFill>
          <bgColor rgb="FF92D050"/>
        </patternFill>
      </fill>
    </dxf>
    <dxf>
      <fill>
        <patternFill patternType="solid">
          <bgColor rgb="FFFFC000"/>
        </patternFill>
      </fill>
    </dxf>
    <dxf>
      <fill>
        <patternFill patternType="solid">
          <bgColor rgb="FF00B0F0"/>
        </patternFill>
      </fill>
    </dxf>
    <dxf>
      <fill>
        <patternFill patternType="solid">
          <bgColor rgb="FFFFC000"/>
        </patternFill>
      </fill>
    </dxf>
    <dxf>
      <fill>
        <patternFill patternType="solid">
          <bgColor rgb="FFFFFF00"/>
        </patternFill>
      </fill>
    </dxf>
    <dxf>
      <fill>
        <patternFill patternType="solid">
          <bgColor rgb="FF00B0F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bgColor theme="4" tint="0.39997558519241921"/>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With Slicer.xlsx]Pivot pie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pie chart'!$B$6:$B$7</c:f>
              <c:strCache>
                <c:ptCount val="1"/>
                <c:pt idx="0">
                  <c:v>25-09-2025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pie chart'!$A$8:$A$18</c:f>
              <c:strCache>
                <c:ptCount val="10"/>
                <c:pt idx="0">
                  <c:v>Nme9</c:v>
                </c:pt>
                <c:pt idx="1">
                  <c:v>Nme10</c:v>
                </c:pt>
                <c:pt idx="2">
                  <c:v>Nme4</c:v>
                </c:pt>
                <c:pt idx="3">
                  <c:v>Nme2</c:v>
                </c:pt>
                <c:pt idx="4">
                  <c:v>Nme8</c:v>
                </c:pt>
                <c:pt idx="5">
                  <c:v>Nme3</c:v>
                </c:pt>
                <c:pt idx="6">
                  <c:v>Nme7</c:v>
                </c:pt>
                <c:pt idx="7">
                  <c:v>Nme6</c:v>
                </c:pt>
                <c:pt idx="8">
                  <c:v>Nme1</c:v>
                </c:pt>
                <c:pt idx="9">
                  <c:v>Nme5</c:v>
                </c:pt>
              </c:strCache>
            </c:strRef>
          </c:cat>
          <c:val>
            <c:numRef>
              <c:f>'Pivot pie chart'!$B$8:$B$18</c:f>
              <c:numCache>
                <c:formatCode>General</c:formatCode>
                <c:ptCount val="10"/>
                <c:pt idx="0">
                  <c:v>59</c:v>
                </c:pt>
                <c:pt idx="1">
                  <c:v>72</c:v>
                </c:pt>
                <c:pt idx="2">
                  <c:v>82</c:v>
                </c:pt>
                <c:pt idx="3">
                  <c:v>57</c:v>
                </c:pt>
                <c:pt idx="4">
                  <c:v>55</c:v>
                </c:pt>
                <c:pt idx="5">
                  <c:v>51</c:v>
                </c:pt>
                <c:pt idx="6">
                  <c:v>54</c:v>
                </c:pt>
                <c:pt idx="7">
                  <c:v>87</c:v>
                </c:pt>
                <c:pt idx="8">
                  <c:v>7</c:v>
                </c:pt>
                <c:pt idx="9">
                  <c:v>33</c:v>
                </c:pt>
              </c:numCache>
            </c:numRef>
          </c:val>
          <c:extLst>
            <c:ext xmlns:c16="http://schemas.microsoft.com/office/drawing/2014/chart" uri="{C3380CC4-5D6E-409C-BE32-E72D297353CC}">
              <c16:uniqueId val="{00000000-8BFE-46BE-80C4-C6AC44A618FF}"/>
            </c:ext>
          </c:extLst>
        </c:ser>
        <c:ser>
          <c:idx val="1"/>
          <c:order val="1"/>
          <c:tx>
            <c:strRef>
              <c:f>'Pivot pie chart'!$C$6:$C$7</c:f>
              <c:strCache>
                <c:ptCount val="1"/>
                <c:pt idx="0">
                  <c:v>24-09-2025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pie chart'!$A$8:$A$18</c:f>
              <c:strCache>
                <c:ptCount val="10"/>
                <c:pt idx="0">
                  <c:v>Nme9</c:v>
                </c:pt>
                <c:pt idx="1">
                  <c:v>Nme10</c:v>
                </c:pt>
                <c:pt idx="2">
                  <c:v>Nme4</c:v>
                </c:pt>
                <c:pt idx="3">
                  <c:v>Nme2</c:v>
                </c:pt>
                <c:pt idx="4">
                  <c:v>Nme8</c:v>
                </c:pt>
                <c:pt idx="5">
                  <c:v>Nme3</c:v>
                </c:pt>
                <c:pt idx="6">
                  <c:v>Nme7</c:v>
                </c:pt>
                <c:pt idx="7">
                  <c:v>Nme6</c:v>
                </c:pt>
                <c:pt idx="8">
                  <c:v>Nme1</c:v>
                </c:pt>
                <c:pt idx="9">
                  <c:v>Nme5</c:v>
                </c:pt>
              </c:strCache>
            </c:strRef>
          </c:cat>
          <c:val>
            <c:numRef>
              <c:f>'Pivot pie chart'!$C$8:$C$18</c:f>
              <c:numCache>
                <c:formatCode>General</c:formatCode>
                <c:ptCount val="10"/>
                <c:pt idx="0">
                  <c:v>98</c:v>
                </c:pt>
                <c:pt idx="1">
                  <c:v>71</c:v>
                </c:pt>
                <c:pt idx="2">
                  <c:v>51</c:v>
                </c:pt>
                <c:pt idx="3">
                  <c:v>69</c:v>
                </c:pt>
                <c:pt idx="4">
                  <c:v>85</c:v>
                </c:pt>
                <c:pt idx="5">
                  <c:v>74</c:v>
                </c:pt>
                <c:pt idx="6">
                  <c:v>74</c:v>
                </c:pt>
                <c:pt idx="7">
                  <c:v>15</c:v>
                </c:pt>
                <c:pt idx="8">
                  <c:v>12</c:v>
                </c:pt>
                <c:pt idx="9">
                  <c:v>22</c:v>
                </c:pt>
              </c:numCache>
            </c:numRef>
          </c:val>
          <c:extLst>
            <c:ext xmlns:c16="http://schemas.microsoft.com/office/drawing/2014/chart" uri="{C3380CC4-5D6E-409C-BE32-E72D297353CC}">
              <c16:uniqueId val="{00000002-8BFE-46BE-80C4-C6AC44A618FF}"/>
            </c:ext>
          </c:extLst>
        </c:ser>
        <c:ser>
          <c:idx val="2"/>
          <c:order val="2"/>
          <c:tx>
            <c:strRef>
              <c:f>'Pivot pie chart'!$D$6:$D$7</c:f>
              <c:strCache>
                <c:ptCount val="1"/>
                <c:pt idx="0">
                  <c:v>23-09-2025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pie chart'!$A$8:$A$18</c:f>
              <c:strCache>
                <c:ptCount val="10"/>
                <c:pt idx="0">
                  <c:v>Nme9</c:v>
                </c:pt>
                <c:pt idx="1">
                  <c:v>Nme10</c:v>
                </c:pt>
                <c:pt idx="2">
                  <c:v>Nme4</c:v>
                </c:pt>
                <c:pt idx="3">
                  <c:v>Nme2</c:v>
                </c:pt>
                <c:pt idx="4">
                  <c:v>Nme8</c:v>
                </c:pt>
                <c:pt idx="5">
                  <c:v>Nme3</c:v>
                </c:pt>
                <c:pt idx="6">
                  <c:v>Nme7</c:v>
                </c:pt>
                <c:pt idx="7">
                  <c:v>Nme6</c:v>
                </c:pt>
                <c:pt idx="8">
                  <c:v>Nme1</c:v>
                </c:pt>
                <c:pt idx="9">
                  <c:v>Nme5</c:v>
                </c:pt>
              </c:strCache>
            </c:strRef>
          </c:cat>
          <c:val>
            <c:numRef>
              <c:f>'Pivot pie chart'!$D$8:$D$18</c:f>
              <c:numCache>
                <c:formatCode>General</c:formatCode>
                <c:ptCount val="10"/>
                <c:pt idx="0">
                  <c:v>98</c:v>
                </c:pt>
                <c:pt idx="1">
                  <c:v>86</c:v>
                </c:pt>
                <c:pt idx="2">
                  <c:v>85</c:v>
                </c:pt>
                <c:pt idx="3">
                  <c:v>49</c:v>
                </c:pt>
                <c:pt idx="4">
                  <c:v>30</c:v>
                </c:pt>
                <c:pt idx="5">
                  <c:v>32</c:v>
                </c:pt>
                <c:pt idx="6">
                  <c:v>22</c:v>
                </c:pt>
                <c:pt idx="7">
                  <c:v>23</c:v>
                </c:pt>
                <c:pt idx="8">
                  <c:v>69</c:v>
                </c:pt>
                <c:pt idx="9">
                  <c:v>8</c:v>
                </c:pt>
              </c:numCache>
            </c:numRef>
          </c:val>
          <c:extLst>
            <c:ext xmlns:c16="http://schemas.microsoft.com/office/drawing/2014/chart" uri="{C3380CC4-5D6E-409C-BE32-E72D297353CC}">
              <c16:uniqueId val="{00000003-8BFE-46BE-80C4-C6AC44A618FF}"/>
            </c:ext>
          </c:extLst>
        </c:ser>
        <c:dLbls>
          <c:showLegendKey val="0"/>
          <c:showVal val="0"/>
          <c:showCatName val="0"/>
          <c:showSerName val="0"/>
          <c:showPercent val="0"/>
          <c:showBubbleSize val="0"/>
        </c:dLbls>
        <c:gapWidth val="219"/>
        <c:overlap val="100"/>
        <c:axId val="307193487"/>
        <c:axId val="384798447"/>
      </c:barChart>
      <c:catAx>
        <c:axId val="30719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98447"/>
        <c:crosses val="autoZero"/>
        <c:auto val="1"/>
        <c:lblAlgn val="ctr"/>
        <c:lblOffset val="100"/>
        <c:noMultiLvlLbl val="0"/>
      </c:catAx>
      <c:valAx>
        <c:axId val="38479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9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With Slicer.xlsx]Pivot column bar 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column bar chart'!$C$4</c:f>
              <c:strCache>
                <c:ptCount val="1"/>
                <c:pt idx="0">
                  <c:v>Total</c:v>
                </c:pt>
              </c:strCache>
            </c:strRef>
          </c:tx>
          <c:spPr>
            <a:solidFill>
              <a:schemeClr val="accent2">
                <a:lumMod val="75000"/>
              </a:schemeClr>
            </a:solidFill>
            <a:ln>
              <a:noFill/>
            </a:ln>
            <a:effectLst/>
          </c:spPr>
          <c:invertIfNegative val="0"/>
          <c:cat>
            <c:strRef>
              <c:f>'Pivot column bar chart'!$B$5:$B$15</c:f>
              <c:strCache>
                <c:ptCount val="10"/>
                <c:pt idx="0">
                  <c:v>Nme9</c:v>
                </c:pt>
                <c:pt idx="1">
                  <c:v>Nme10</c:v>
                </c:pt>
                <c:pt idx="2">
                  <c:v>Nme4</c:v>
                </c:pt>
                <c:pt idx="3">
                  <c:v>Nme2</c:v>
                </c:pt>
                <c:pt idx="4">
                  <c:v>Nme8</c:v>
                </c:pt>
                <c:pt idx="5">
                  <c:v>Nme3</c:v>
                </c:pt>
                <c:pt idx="6">
                  <c:v>Nme7</c:v>
                </c:pt>
                <c:pt idx="7">
                  <c:v>Nme6</c:v>
                </c:pt>
                <c:pt idx="8">
                  <c:v>Nme1</c:v>
                </c:pt>
                <c:pt idx="9">
                  <c:v>Nme5</c:v>
                </c:pt>
              </c:strCache>
            </c:strRef>
          </c:cat>
          <c:val>
            <c:numRef>
              <c:f>'Pivot column bar chart'!$C$5:$C$15</c:f>
              <c:numCache>
                <c:formatCode>General</c:formatCode>
                <c:ptCount val="10"/>
                <c:pt idx="0">
                  <c:v>255</c:v>
                </c:pt>
                <c:pt idx="1">
                  <c:v>229</c:v>
                </c:pt>
                <c:pt idx="2">
                  <c:v>218</c:v>
                </c:pt>
                <c:pt idx="3">
                  <c:v>175</c:v>
                </c:pt>
                <c:pt idx="4">
                  <c:v>170</c:v>
                </c:pt>
                <c:pt idx="5">
                  <c:v>157</c:v>
                </c:pt>
                <c:pt idx="6">
                  <c:v>150</c:v>
                </c:pt>
                <c:pt idx="7">
                  <c:v>125</c:v>
                </c:pt>
                <c:pt idx="8">
                  <c:v>88</c:v>
                </c:pt>
                <c:pt idx="9">
                  <c:v>63</c:v>
                </c:pt>
              </c:numCache>
            </c:numRef>
          </c:val>
          <c:extLst>
            <c:ext xmlns:c16="http://schemas.microsoft.com/office/drawing/2014/chart" uri="{C3380CC4-5D6E-409C-BE32-E72D297353CC}">
              <c16:uniqueId val="{00000000-51D5-46FB-ABE7-7C816D6CE861}"/>
            </c:ext>
          </c:extLst>
        </c:ser>
        <c:dLbls>
          <c:showLegendKey val="0"/>
          <c:showVal val="0"/>
          <c:showCatName val="0"/>
          <c:showSerName val="0"/>
          <c:showPercent val="0"/>
          <c:showBubbleSize val="0"/>
        </c:dLbls>
        <c:gapWidth val="219"/>
        <c:overlap val="-27"/>
        <c:axId val="867833968"/>
        <c:axId val="867829168"/>
      </c:barChart>
      <c:catAx>
        <c:axId val="86783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29168"/>
        <c:crosses val="autoZero"/>
        <c:auto val="1"/>
        <c:lblAlgn val="ctr"/>
        <c:lblOffset val="100"/>
        <c:noMultiLvlLbl val="0"/>
      </c:catAx>
      <c:valAx>
        <c:axId val="86782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3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38000"/>
      </a:srgbClr>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With Slicer.xlsx]Sheet1 (2)!PivotTable2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'Sheet1 (2)'!$I$7:$I$8</c:f>
              <c:strCache>
                <c:ptCount val="1"/>
                <c:pt idx="0">
                  <c:v>Pass</c:v>
                </c:pt>
              </c:strCache>
            </c:strRef>
          </c:tx>
          <c:dPt>
            <c:idx val="0"/>
            <c:bubble3D val="0"/>
            <c:spPr>
              <a:solidFill>
                <a:schemeClr val="accent1"/>
              </a:solidFill>
              <a:ln>
                <a:noFill/>
              </a:ln>
              <a:effectLst/>
            </c:spPr>
            <c:extLst>
              <c:ext xmlns:c16="http://schemas.microsoft.com/office/drawing/2014/chart" uri="{C3380CC4-5D6E-409C-BE32-E72D297353CC}">
                <c16:uniqueId val="{00000001-F1B2-4F2C-9216-A77C6FBFE678}"/>
              </c:ext>
            </c:extLst>
          </c:dPt>
          <c:dPt>
            <c:idx val="1"/>
            <c:bubble3D val="0"/>
            <c:spPr>
              <a:solidFill>
                <a:schemeClr val="accent2"/>
              </a:solidFill>
              <a:ln>
                <a:noFill/>
              </a:ln>
              <a:effectLst/>
            </c:spPr>
            <c:extLst>
              <c:ext xmlns:c16="http://schemas.microsoft.com/office/drawing/2014/chart" uri="{C3380CC4-5D6E-409C-BE32-E72D297353CC}">
                <c16:uniqueId val="{00000003-F1B2-4F2C-9216-A77C6FBFE678}"/>
              </c:ext>
            </c:extLst>
          </c:dPt>
          <c:dPt>
            <c:idx val="2"/>
            <c:bubble3D val="0"/>
            <c:spPr>
              <a:solidFill>
                <a:schemeClr val="accent3"/>
              </a:solidFill>
              <a:ln>
                <a:noFill/>
              </a:ln>
              <a:effectLst/>
            </c:spPr>
            <c:extLst>
              <c:ext xmlns:c16="http://schemas.microsoft.com/office/drawing/2014/chart" uri="{C3380CC4-5D6E-409C-BE32-E72D297353CC}">
                <c16:uniqueId val="{00000005-F1B2-4F2C-9216-A77C6FBFE6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 (2)'!$H$9:$H$12</c:f>
              <c:strCache>
                <c:ptCount val="3"/>
                <c:pt idx="0">
                  <c:v>06-08-2024</c:v>
                </c:pt>
                <c:pt idx="1">
                  <c:v>05-08-2024</c:v>
                </c:pt>
                <c:pt idx="2">
                  <c:v>04-08-2024</c:v>
                </c:pt>
              </c:strCache>
            </c:strRef>
          </c:cat>
          <c:val>
            <c:numRef>
              <c:f>'Sheet1 (2)'!$I$9:$I$12</c:f>
              <c:numCache>
                <c:formatCode>General</c:formatCode>
                <c:ptCount val="3"/>
                <c:pt idx="0">
                  <c:v>445</c:v>
                </c:pt>
                <c:pt idx="1">
                  <c:v>234</c:v>
                </c:pt>
                <c:pt idx="2">
                  <c:v>318</c:v>
                </c:pt>
              </c:numCache>
            </c:numRef>
          </c:val>
          <c:extLst>
            <c:ext xmlns:c16="http://schemas.microsoft.com/office/drawing/2014/chart" uri="{C3380CC4-5D6E-409C-BE32-E72D297353CC}">
              <c16:uniqueId val="{00000000-7801-4133-9A22-C7ECC2C67F91}"/>
            </c:ext>
          </c:extLst>
        </c:ser>
        <c:ser>
          <c:idx val="1"/>
          <c:order val="1"/>
          <c:tx>
            <c:strRef>
              <c:f>'Sheet1 (2)'!$J$7:$J$8</c:f>
              <c:strCache>
                <c:ptCount val="1"/>
                <c:pt idx="0">
                  <c:v>Fail</c:v>
                </c:pt>
              </c:strCache>
            </c:strRef>
          </c:tx>
          <c:dPt>
            <c:idx val="0"/>
            <c:bubble3D val="0"/>
            <c:spPr>
              <a:solidFill>
                <a:schemeClr val="accent1"/>
              </a:solidFill>
              <a:ln>
                <a:noFill/>
              </a:ln>
              <a:effectLst/>
            </c:spPr>
            <c:extLst>
              <c:ext xmlns:c16="http://schemas.microsoft.com/office/drawing/2014/chart" uri="{C3380CC4-5D6E-409C-BE32-E72D297353CC}">
                <c16:uniqueId val="{00000007-F1B2-4F2C-9216-A77C6FBFE678}"/>
              </c:ext>
            </c:extLst>
          </c:dPt>
          <c:dPt>
            <c:idx val="1"/>
            <c:bubble3D val="0"/>
            <c:spPr>
              <a:solidFill>
                <a:schemeClr val="accent2"/>
              </a:solidFill>
              <a:ln>
                <a:noFill/>
              </a:ln>
              <a:effectLst/>
            </c:spPr>
            <c:extLst>
              <c:ext xmlns:c16="http://schemas.microsoft.com/office/drawing/2014/chart" uri="{C3380CC4-5D6E-409C-BE32-E72D297353CC}">
                <c16:uniqueId val="{00000009-F1B2-4F2C-9216-A77C6FBFE678}"/>
              </c:ext>
            </c:extLst>
          </c:dPt>
          <c:dPt>
            <c:idx val="2"/>
            <c:bubble3D val="0"/>
            <c:spPr>
              <a:solidFill>
                <a:schemeClr val="accent3"/>
              </a:solidFill>
              <a:ln>
                <a:noFill/>
              </a:ln>
              <a:effectLst/>
            </c:spPr>
            <c:extLst>
              <c:ext xmlns:c16="http://schemas.microsoft.com/office/drawing/2014/chart" uri="{C3380CC4-5D6E-409C-BE32-E72D297353CC}">
                <c16:uniqueId val="{0000000B-F1B2-4F2C-9216-A77C6FBFE678}"/>
              </c:ext>
            </c:extLst>
          </c:dPt>
          <c:cat>
            <c:strRef>
              <c:f>'Sheet1 (2)'!$H$9:$H$12</c:f>
              <c:strCache>
                <c:ptCount val="3"/>
                <c:pt idx="0">
                  <c:v>06-08-2024</c:v>
                </c:pt>
                <c:pt idx="1">
                  <c:v>05-08-2024</c:v>
                </c:pt>
                <c:pt idx="2">
                  <c:v>04-08-2024</c:v>
                </c:pt>
              </c:strCache>
            </c:strRef>
          </c:cat>
          <c:val>
            <c:numRef>
              <c:f>'Sheet1 (2)'!$J$9:$J$12</c:f>
              <c:numCache>
                <c:formatCode>General</c:formatCode>
                <c:ptCount val="3"/>
                <c:pt idx="0">
                  <c:v>40</c:v>
                </c:pt>
                <c:pt idx="1">
                  <c:v>49</c:v>
                </c:pt>
                <c:pt idx="2">
                  <c:v>115</c:v>
                </c:pt>
              </c:numCache>
            </c:numRef>
          </c:val>
          <c:extLst>
            <c:ext xmlns:c16="http://schemas.microsoft.com/office/drawing/2014/chart" uri="{C3380CC4-5D6E-409C-BE32-E72D297353CC}">
              <c16:uniqueId val="{00000001-7801-4133-9A22-C7ECC2C67F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With Slicer.xlsx]Sheet5!PivotTable5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70552493438320207"/>
          <c:h val="0.65853091280256637"/>
        </c:manualLayout>
      </c:layout>
      <c:barChart>
        <c:barDir val="col"/>
        <c:grouping val="clustered"/>
        <c:varyColors val="0"/>
        <c:ser>
          <c:idx val="0"/>
          <c:order val="0"/>
          <c:tx>
            <c:strRef>
              <c:f>Sheet5!$B$1:$B$2</c:f>
              <c:strCache>
                <c:ptCount val="1"/>
                <c:pt idx="0">
                  <c:v>Fail</c:v>
                </c:pt>
              </c:strCache>
            </c:strRef>
          </c:tx>
          <c:spPr>
            <a:solidFill>
              <a:schemeClr val="accent1"/>
            </a:solidFill>
            <a:ln>
              <a:noFill/>
            </a:ln>
            <a:effectLst/>
          </c:spPr>
          <c:invertIfNegative val="0"/>
          <c:cat>
            <c:strRef>
              <c:f>Sheet5!$A$3:$A$6</c:f>
              <c:strCache>
                <c:ptCount val="3"/>
                <c:pt idx="0">
                  <c:v>25-09-2025</c:v>
                </c:pt>
                <c:pt idx="1">
                  <c:v>24-09-2025</c:v>
                </c:pt>
                <c:pt idx="2">
                  <c:v>23-09-2025</c:v>
                </c:pt>
              </c:strCache>
            </c:strRef>
          </c:cat>
          <c:val>
            <c:numRef>
              <c:f>Sheet5!$B$3:$B$6</c:f>
              <c:numCache>
                <c:formatCode>General</c:formatCode>
                <c:ptCount val="3"/>
                <c:pt idx="0">
                  <c:v>40</c:v>
                </c:pt>
                <c:pt idx="1">
                  <c:v>49</c:v>
                </c:pt>
                <c:pt idx="2">
                  <c:v>115</c:v>
                </c:pt>
              </c:numCache>
            </c:numRef>
          </c:val>
          <c:extLst>
            <c:ext xmlns:c16="http://schemas.microsoft.com/office/drawing/2014/chart" uri="{C3380CC4-5D6E-409C-BE32-E72D297353CC}">
              <c16:uniqueId val="{00000000-DC11-492E-8C10-19E39BCB7BBB}"/>
            </c:ext>
          </c:extLst>
        </c:ser>
        <c:ser>
          <c:idx val="1"/>
          <c:order val="1"/>
          <c:tx>
            <c:strRef>
              <c:f>Sheet5!$C$1:$C$2</c:f>
              <c:strCache>
                <c:ptCount val="1"/>
                <c:pt idx="0">
                  <c:v>Pass</c:v>
                </c:pt>
              </c:strCache>
            </c:strRef>
          </c:tx>
          <c:spPr>
            <a:solidFill>
              <a:schemeClr val="accent2"/>
            </a:solidFill>
            <a:ln>
              <a:noFill/>
            </a:ln>
            <a:effectLst/>
          </c:spPr>
          <c:invertIfNegative val="0"/>
          <c:cat>
            <c:strRef>
              <c:f>Sheet5!$A$3:$A$6</c:f>
              <c:strCache>
                <c:ptCount val="3"/>
                <c:pt idx="0">
                  <c:v>25-09-2025</c:v>
                </c:pt>
                <c:pt idx="1">
                  <c:v>24-09-2025</c:v>
                </c:pt>
                <c:pt idx="2">
                  <c:v>23-09-2025</c:v>
                </c:pt>
              </c:strCache>
            </c:strRef>
          </c:cat>
          <c:val>
            <c:numRef>
              <c:f>Sheet5!$C$3:$C$6</c:f>
              <c:numCache>
                <c:formatCode>General</c:formatCode>
                <c:ptCount val="3"/>
                <c:pt idx="0">
                  <c:v>276</c:v>
                </c:pt>
                <c:pt idx="1">
                  <c:v>51</c:v>
                </c:pt>
                <c:pt idx="2">
                  <c:v>49</c:v>
                </c:pt>
              </c:numCache>
            </c:numRef>
          </c:val>
          <c:extLst>
            <c:ext xmlns:c16="http://schemas.microsoft.com/office/drawing/2014/chart" uri="{C3380CC4-5D6E-409C-BE32-E72D297353CC}">
              <c16:uniqueId val="{00000001-DC11-492E-8C10-19E39BCB7BBB}"/>
            </c:ext>
          </c:extLst>
        </c:ser>
        <c:ser>
          <c:idx val="2"/>
          <c:order val="2"/>
          <c:tx>
            <c:strRef>
              <c:f>Sheet5!$D$1:$D$2</c:f>
              <c:strCache>
                <c:ptCount val="1"/>
                <c:pt idx="0">
                  <c:v>First class</c:v>
                </c:pt>
              </c:strCache>
            </c:strRef>
          </c:tx>
          <c:spPr>
            <a:solidFill>
              <a:schemeClr val="accent3"/>
            </a:solidFill>
            <a:ln>
              <a:noFill/>
            </a:ln>
            <a:effectLst/>
          </c:spPr>
          <c:invertIfNegative val="0"/>
          <c:cat>
            <c:strRef>
              <c:f>Sheet5!$A$3:$A$6</c:f>
              <c:strCache>
                <c:ptCount val="3"/>
                <c:pt idx="0">
                  <c:v>25-09-2025</c:v>
                </c:pt>
                <c:pt idx="1">
                  <c:v>24-09-2025</c:v>
                </c:pt>
                <c:pt idx="2">
                  <c:v>23-09-2025</c:v>
                </c:pt>
              </c:strCache>
            </c:strRef>
          </c:cat>
          <c:val>
            <c:numRef>
              <c:f>Sheet5!$D$3:$D$6</c:f>
              <c:numCache>
                <c:formatCode>General</c:formatCode>
                <c:ptCount val="3"/>
                <c:pt idx="0">
                  <c:v>72</c:v>
                </c:pt>
                <c:pt idx="1">
                  <c:v>288</c:v>
                </c:pt>
                <c:pt idx="2">
                  <c:v>69</c:v>
                </c:pt>
              </c:numCache>
            </c:numRef>
          </c:val>
          <c:extLst>
            <c:ext xmlns:c16="http://schemas.microsoft.com/office/drawing/2014/chart" uri="{C3380CC4-5D6E-409C-BE32-E72D297353CC}">
              <c16:uniqueId val="{00000002-DC11-492E-8C10-19E39BCB7BBB}"/>
            </c:ext>
          </c:extLst>
        </c:ser>
        <c:ser>
          <c:idx val="3"/>
          <c:order val="3"/>
          <c:tx>
            <c:strRef>
              <c:f>Sheet5!$E$1:$E$2</c:f>
              <c:strCache>
                <c:ptCount val="1"/>
                <c:pt idx="0">
                  <c:v>Disctinction</c:v>
                </c:pt>
              </c:strCache>
            </c:strRef>
          </c:tx>
          <c:spPr>
            <a:solidFill>
              <a:schemeClr val="accent4"/>
            </a:solidFill>
            <a:ln>
              <a:noFill/>
            </a:ln>
            <a:effectLst/>
          </c:spPr>
          <c:invertIfNegative val="0"/>
          <c:cat>
            <c:strRef>
              <c:f>Sheet5!$A$3:$A$6</c:f>
              <c:strCache>
                <c:ptCount val="3"/>
                <c:pt idx="0">
                  <c:v>25-09-2025</c:v>
                </c:pt>
                <c:pt idx="1">
                  <c:v>24-09-2025</c:v>
                </c:pt>
                <c:pt idx="2">
                  <c:v>23-09-2025</c:v>
                </c:pt>
              </c:strCache>
            </c:strRef>
          </c:cat>
          <c:val>
            <c:numRef>
              <c:f>Sheet5!$E$3:$E$6</c:f>
              <c:numCache>
                <c:formatCode>General</c:formatCode>
                <c:ptCount val="3"/>
                <c:pt idx="0">
                  <c:v>169</c:v>
                </c:pt>
                <c:pt idx="1">
                  <c:v>183</c:v>
                </c:pt>
                <c:pt idx="2">
                  <c:v>269</c:v>
                </c:pt>
              </c:numCache>
            </c:numRef>
          </c:val>
          <c:extLst>
            <c:ext xmlns:c16="http://schemas.microsoft.com/office/drawing/2014/chart" uri="{C3380CC4-5D6E-409C-BE32-E72D297353CC}">
              <c16:uniqueId val="{00000003-DC11-492E-8C10-19E39BCB7BBB}"/>
            </c:ext>
          </c:extLst>
        </c:ser>
        <c:dLbls>
          <c:showLegendKey val="0"/>
          <c:showVal val="0"/>
          <c:showCatName val="0"/>
          <c:showSerName val="0"/>
          <c:showPercent val="0"/>
          <c:showBubbleSize val="0"/>
        </c:dLbls>
        <c:gapWidth val="219"/>
        <c:overlap val="-27"/>
        <c:axId val="715627888"/>
        <c:axId val="867822448"/>
      </c:barChart>
      <c:catAx>
        <c:axId val="71562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22448"/>
        <c:crosses val="autoZero"/>
        <c:auto val="1"/>
        <c:lblAlgn val="ctr"/>
        <c:lblOffset val="100"/>
        <c:noMultiLvlLbl val="0"/>
      </c:catAx>
      <c:valAx>
        <c:axId val="86782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2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With Slicer.xlsx]Pivot with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with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with chart'!$A$4:$A$14</c:f>
              <c:strCache>
                <c:ptCount val="10"/>
                <c:pt idx="0">
                  <c:v>Nme9</c:v>
                </c:pt>
                <c:pt idx="1">
                  <c:v>Nme10</c:v>
                </c:pt>
                <c:pt idx="2">
                  <c:v>Nme4</c:v>
                </c:pt>
                <c:pt idx="3">
                  <c:v>Nme2</c:v>
                </c:pt>
                <c:pt idx="4">
                  <c:v>Nme8</c:v>
                </c:pt>
                <c:pt idx="5">
                  <c:v>Nme3</c:v>
                </c:pt>
                <c:pt idx="6">
                  <c:v>Nme7</c:v>
                </c:pt>
                <c:pt idx="7">
                  <c:v>Nme6</c:v>
                </c:pt>
                <c:pt idx="8">
                  <c:v>Nme1</c:v>
                </c:pt>
                <c:pt idx="9">
                  <c:v>Nme5</c:v>
                </c:pt>
              </c:strCache>
            </c:strRef>
          </c:cat>
          <c:val>
            <c:numRef>
              <c:f>'Pivot with chart'!$B$4:$B$14</c:f>
              <c:numCache>
                <c:formatCode>General</c:formatCode>
                <c:ptCount val="10"/>
                <c:pt idx="0">
                  <c:v>255</c:v>
                </c:pt>
                <c:pt idx="1">
                  <c:v>229</c:v>
                </c:pt>
                <c:pt idx="2">
                  <c:v>218</c:v>
                </c:pt>
                <c:pt idx="3">
                  <c:v>175</c:v>
                </c:pt>
                <c:pt idx="4">
                  <c:v>170</c:v>
                </c:pt>
                <c:pt idx="5">
                  <c:v>157</c:v>
                </c:pt>
                <c:pt idx="6">
                  <c:v>150</c:v>
                </c:pt>
                <c:pt idx="7">
                  <c:v>125</c:v>
                </c:pt>
                <c:pt idx="8">
                  <c:v>88</c:v>
                </c:pt>
                <c:pt idx="9">
                  <c:v>63</c:v>
                </c:pt>
              </c:numCache>
            </c:numRef>
          </c:val>
          <c:extLst>
            <c:ext xmlns:c16="http://schemas.microsoft.com/office/drawing/2014/chart" uri="{C3380CC4-5D6E-409C-BE32-E72D297353CC}">
              <c16:uniqueId val="{00000000-513E-4650-AF10-05222872C508}"/>
            </c:ext>
          </c:extLst>
        </c:ser>
        <c:dLbls>
          <c:showLegendKey val="0"/>
          <c:showVal val="0"/>
          <c:showCatName val="0"/>
          <c:showSerName val="0"/>
          <c:showPercent val="0"/>
          <c:showBubbleSize val="0"/>
        </c:dLbls>
        <c:gapWidth val="219"/>
        <c:overlap val="-27"/>
        <c:axId val="444556959"/>
        <c:axId val="444576639"/>
      </c:barChart>
      <c:catAx>
        <c:axId val="44455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76639"/>
        <c:crosses val="autoZero"/>
        <c:auto val="1"/>
        <c:lblAlgn val="ctr"/>
        <c:lblOffset val="100"/>
        <c:noMultiLvlLbl val="0"/>
      </c:catAx>
      <c:valAx>
        <c:axId val="44457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5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316230</xdr:colOff>
      <xdr:row>4</xdr:row>
      <xdr:rowOff>176530</xdr:rowOff>
    </xdr:from>
    <xdr:to>
      <xdr:col>13</xdr:col>
      <xdr:colOff>259080</xdr:colOff>
      <xdr:row>23</xdr:row>
      <xdr:rowOff>167005</xdr:rowOff>
    </xdr:to>
    <xdr:graphicFrame macro="">
      <xdr:nvGraphicFramePr>
        <xdr:cNvPr id="3" name="Chart 2">
          <a:extLst>
            <a:ext uri="{FF2B5EF4-FFF2-40B4-BE49-F238E27FC236}">
              <a16:creationId xmlns:a16="http://schemas.microsoft.com/office/drawing/2014/main" id="{E301897E-C3A2-5FCA-D9DA-EF819EB16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171450</xdr:colOff>
      <xdr:row>0</xdr:row>
      <xdr:rowOff>76201</xdr:rowOff>
    </xdr:from>
    <xdr:to>
      <xdr:col>5</xdr:col>
      <xdr:colOff>287020</xdr:colOff>
      <xdr:row>4</xdr:row>
      <xdr:rowOff>82550</xdr:rowOff>
    </xdr:to>
    <mc:AlternateContent xmlns:mc="http://schemas.openxmlformats.org/markup-compatibility/2006" xmlns:a14="http://schemas.microsoft.com/office/drawing/2010/main">
      <mc:Choice Requires="a14">
        <xdr:graphicFrame macro="">
          <xdr:nvGraphicFramePr>
            <xdr:cNvPr id="4" name="Result">
              <a:extLst>
                <a:ext uri="{FF2B5EF4-FFF2-40B4-BE49-F238E27FC236}">
                  <a16:creationId xmlns:a16="http://schemas.microsoft.com/office/drawing/2014/main" id="{B64E0D4B-FF6A-C3F6-DF81-E0E026A50CA8}"/>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mlns="">
        <xdr:sp macro="" textlink="">
          <xdr:nvSpPr>
            <xdr:cNvPr id="0" name=""/>
            <xdr:cNvSpPr>
              <a:spLocks noTextEdit="1"/>
            </xdr:cNvSpPr>
          </xdr:nvSpPr>
          <xdr:spPr>
            <a:xfrm>
              <a:off x="2101850" y="76201"/>
              <a:ext cx="2305050" cy="742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361950</xdr:colOff>
      <xdr:row>0</xdr:row>
      <xdr:rowOff>139701</xdr:rowOff>
    </xdr:from>
    <xdr:to>
      <xdr:col>12</xdr:col>
      <xdr:colOff>323850</xdr:colOff>
      <xdr:row>4</xdr:row>
      <xdr:rowOff>57150</xdr:rowOff>
    </xdr:to>
    <mc:AlternateContent xmlns:mc="http://schemas.openxmlformats.org/markup-compatibility/2006" xmlns:a14="http://schemas.microsoft.com/office/drawing/2010/main">
      <mc:Choice Requires="a14">
        <xdr:graphicFrame macro="">
          <xdr:nvGraphicFramePr>
            <xdr:cNvPr id="6" name="Class">
              <a:extLst>
                <a:ext uri="{FF2B5EF4-FFF2-40B4-BE49-F238E27FC236}">
                  <a16:creationId xmlns:a16="http://schemas.microsoft.com/office/drawing/2014/main" id="{A3605C53-12FC-C83D-D7C6-AECC8DFBE55E}"/>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5105400" y="139701"/>
              <a:ext cx="3676650" cy="654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1</xdr:row>
      <xdr:rowOff>54610</xdr:rowOff>
    </xdr:from>
    <xdr:to>
      <xdr:col>11</xdr:col>
      <xdr:colOff>144780</xdr:colOff>
      <xdr:row>16</xdr:row>
      <xdr:rowOff>35560</xdr:rowOff>
    </xdr:to>
    <xdr:graphicFrame macro="">
      <xdr:nvGraphicFramePr>
        <xdr:cNvPr id="3" name="Chart 2">
          <a:extLst>
            <a:ext uri="{FF2B5EF4-FFF2-40B4-BE49-F238E27FC236}">
              <a16:creationId xmlns:a16="http://schemas.microsoft.com/office/drawing/2014/main" id="{9376F8BE-8EF0-5145-C957-DE5446CD8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438150</xdr:colOff>
      <xdr:row>0</xdr:row>
      <xdr:rowOff>38101</xdr:rowOff>
    </xdr:from>
    <xdr:to>
      <xdr:col>19</xdr:col>
      <xdr:colOff>368300</xdr:colOff>
      <xdr:row>3</xdr:row>
      <xdr:rowOff>107950</xdr:rowOff>
    </xdr:to>
    <mc:AlternateContent xmlns:mc="http://schemas.openxmlformats.org/markup-compatibility/2006" xmlns:a14="http://schemas.microsoft.com/office/drawing/2010/main">
      <mc:Choice Requires="a14">
        <xdr:graphicFrame macro="">
          <xdr:nvGraphicFramePr>
            <xdr:cNvPr id="2" name="Result 1">
              <a:extLst>
                <a:ext uri="{FF2B5EF4-FFF2-40B4-BE49-F238E27FC236}">
                  <a16:creationId xmlns:a16="http://schemas.microsoft.com/office/drawing/2014/main" id="{663BF3A7-41DC-1AE1-742E-8B29029EEC05}"/>
                </a:ext>
              </a:extLst>
            </xdr:cNvPr>
            <xdr:cNvGraphicFramePr/>
          </xdr:nvGraphicFramePr>
          <xdr:xfrm>
            <a:off x="0" y="0"/>
            <a:ext cx="0" cy="0"/>
          </xdr:xfrm>
          <a:graphic>
            <a:graphicData uri="http://schemas.microsoft.com/office/drawing/2010/slicer">
              <sle:slicer xmlns:sle="http://schemas.microsoft.com/office/drawing/2010/slicer" name="Result 1"/>
            </a:graphicData>
          </a:graphic>
        </xdr:graphicFrame>
      </mc:Choice>
      <mc:Fallback xmlns="">
        <xdr:sp macro="" textlink="">
          <xdr:nvSpPr>
            <xdr:cNvPr id="0" name=""/>
            <xdr:cNvSpPr>
              <a:spLocks noTextEdit="1"/>
            </xdr:cNvSpPr>
          </xdr:nvSpPr>
          <xdr:spPr>
            <a:xfrm>
              <a:off x="9963150" y="38101"/>
              <a:ext cx="1117600" cy="622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76200</xdr:colOff>
      <xdr:row>0</xdr:row>
      <xdr:rowOff>0</xdr:rowOff>
    </xdr:from>
    <xdr:to>
      <xdr:col>15</xdr:col>
      <xdr:colOff>251460</xdr:colOff>
      <xdr:row>3</xdr:row>
      <xdr:rowOff>152400</xdr:rowOff>
    </xdr:to>
    <mc:AlternateContent xmlns:mc="http://schemas.openxmlformats.org/markup-compatibility/2006" xmlns:a14="http://schemas.microsoft.com/office/drawing/2010/main">
      <mc:Choice Requires="a14">
        <xdr:graphicFrame macro="">
          <xdr:nvGraphicFramePr>
            <xdr:cNvPr id="4" name="Class 3">
              <a:extLst>
                <a:ext uri="{FF2B5EF4-FFF2-40B4-BE49-F238E27FC236}">
                  <a16:creationId xmlns:a16="http://schemas.microsoft.com/office/drawing/2014/main" id="{0E513FE5-1A47-3102-36F4-BD0C2A623781}"/>
                </a:ext>
              </a:extLst>
            </xdr:cNvPr>
            <xdr:cNvGraphicFramePr/>
          </xdr:nvGraphicFramePr>
          <xdr:xfrm>
            <a:off x="0" y="0"/>
            <a:ext cx="0" cy="0"/>
          </xdr:xfrm>
          <a:graphic>
            <a:graphicData uri="http://schemas.microsoft.com/office/drawing/2010/slicer">
              <sle:slicer xmlns:sle="http://schemas.microsoft.com/office/drawing/2010/slicer" name="Class 3"/>
            </a:graphicData>
          </a:graphic>
        </xdr:graphicFrame>
      </mc:Choice>
      <mc:Fallback xmlns="">
        <xdr:sp macro="" textlink="">
          <xdr:nvSpPr>
            <xdr:cNvPr id="0" name=""/>
            <xdr:cNvSpPr>
              <a:spLocks noTextEdit="1"/>
            </xdr:cNvSpPr>
          </xdr:nvSpPr>
          <xdr:spPr>
            <a:xfrm>
              <a:off x="6451600" y="0"/>
              <a:ext cx="2736850"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231775</xdr:colOff>
      <xdr:row>2</xdr:row>
      <xdr:rowOff>15875</xdr:rowOff>
    </xdr:from>
    <xdr:to>
      <xdr:col>18</xdr:col>
      <xdr:colOff>536575</xdr:colOff>
      <xdr:row>16</xdr:row>
      <xdr:rowOff>180975</xdr:rowOff>
    </xdr:to>
    <xdr:graphicFrame macro="">
      <xdr:nvGraphicFramePr>
        <xdr:cNvPr id="4" name="Chart 3">
          <a:extLst>
            <a:ext uri="{FF2B5EF4-FFF2-40B4-BE49-F238E27FC236}">
              <a16:creationId xmlns:a16="http://schemas.microsoft.com/office/drawing/2014/main" id="{EA388D6E-3FC6-3C8F-A854-F8B0DAC5E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228600</xdr:colOff>
      <xdr:row>13</xdr:row>
      <xdr:rowOff>95250</xdr:rowOff>
    </xdr:from>
    <xdr:to>
      <xdr:col>10</xdr:col>
      <xdr:colOff>730250</xdr:colOff>
      <xdr:row>22</xdr:row>
      <xdr:rowOff>174625</xdr:rowOff>
    </xdr:to>
    <mc:AlternateContent xmlns:mc="http://schemas.openxmlformats.org/markup-compatibility/2006" xmlns:a14="http://schemas.microsoft.com/office/drawing/2010/main">
      <mc:Choice Requires="a14">
        <xdr:graphicFrame macro="">
          <xdr:nvGraphicFramePr>
            <xdr:cNvPr id="5" name="Class 1">
              <a:extLst>
                <a:ext uri="{FF2B5EF4-FFF2-40B4-BE49-F238E27FC236}">
                  <a16:creationId xmlns:a16="http://schemas.microsoft.com/office/drawing/2014/main" id="{1B145103-7E92-66BA-19B2-5BA716F186FB}"/>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3981450" y="2489200"/>
              <a:ext cx="3390900" cy="1736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79375</xdr:colOff>
      <xdr:row>1</xdr:row>
      <xdr:rowOff>127000</xdr:rowOff>
    </xdr:from>
    <xdr:to>
      <xdr:col>14</xdr:col>
      <xdr:colOff>384175</xdr:colOff>
      <xdr:row>16</xdr:row>
      <xdr:rowOff>107950</xdr:rowOff>
    </xdr:to>
    <xdr:graphicFrame macro="">
      <xdr:nvGraphicFramePr>
        <xdr:cNvPr id="3" name="Chart 2">
          <a:extLst>
            <a:ext uri="{FF2B5EF4-FFF2-40B4-BE49-F238E27FC236}">
              <a16:creationId xmlns:a16="http://schemas.microsoft.com/office/drawing/2014/main" id="{C9CFA6C8-0D7C-E216-5B8A-9BB6B271B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25400</xdr:colOff>
      <xdr:row>2</xdr:row>
      <xdr:rowOff>79375</xdr:rowOff>
    </xdr:from>
    <xdr:to>
      <xdr:col>12</xdr:col>
      <xdr:colOff>330200</xdr:colOff>
      <xdr:row>17</xdr:row>
      <xdr:rowOff>60325</xdr:rowOff>
    </xdr:to>
    <xdr:graphicFrame macro="">
      <xdr:nvGraphicFramePr>
        <xdr:cNvPr id="2" name="Chart 1">
          <a:extLst>
            <a:ext uri="{FF2B5EF4-FFF2-40B4-BE49-F238E27FC236}">
              <a16:creationId xmlns:a16="http://schemas.microsoft.com/office/drawing/2014/main" id="{BB2CEAA1-A140-7651-AACE-102EE5477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215900</xdr:colOff>
      <xdr:row>0</xdr:row>
      <xdr:rowOff>19051</xdr:rowOff>
    </xdr:from>
    <xdr:to>
      <xdr:col>15</xdr:col>
      <xdr:colOff>508000</xdr:colOff>
      <xdr:row>3</xdr:row>
      <xdr:rowOff>107950</xdr:rowOff>
    </xdr:to>
    <mc:AlternateContent xmlns:mc="http://schemas.openxmlformats.org/markup-compatibility/2006" xmlns:a14="http://schemas.microsoft.com/office/drawing/2010/main">
      <mc:Choice Requires="a14">
        <xdr:graphicFrame macro="">
          <xdr:nvGraphicFramePr>
            <xdr:cNvPr id="4" name="Class 2">
              <a:extLst>
                <a:ext uri="{FF2B5EF4-FFF2-40B4-BE49-F238E27FC236}">
                  <a16:creationId xmlns:a16="http://schemas.microsoft.com/office/drawing/2014/main" id="{25098BD8-D8D0-38DD-51EA-862ADE95539E}"/>
                </a:ext>
              </a:extLst>
            </xdr:cNvPr>
            <xdr:cNvGraphicFramePr/>
          </xdr:nvGraphicFramePr>
          <xdr:xfrm>
            <a:off x="0" y="0"/>
            <a:ext cx="0" cy="0"/>
          </xdr:xfrm>
          <a:graphic>
            <a:graphicData uri="http://schemas.microsoft.com/office/drawing/2010/slicer">
              <sle:slicer xmlns:sle="http://schemas.microsoft.com/office/drawing/2010/slicer" name="Class 2"/>
            </a:graphicData>
          </a:graphic>
        </xdr:graphicFrame>
      </mc:Choice>
      <mc:Fallback xmlns="">
        <xdr:sp macro="" textlink="">
          <xdr:nvSpPr>
            <xdr:cNvPr id="0" name=""/>
            <xdr:cNvSpPr>
              <a:spLocks noTextEdit="1"/>
            </xdr:cNvSpPr>
          </xdr:nvSpPr>
          <xdr:spPr>
            <a:xfrm>
              <a:off x="7677150" y="19051"/>
              <a:ext cx="2730500"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dmin\Documents\Advance%20excel\Pivot%20scoure%20chane%20source.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520.813960879626" createdVersion="8" refreshedVersion="8" minRefreshableVersion="3" recordCount="30" xr:uid="{420AF5FE-C362-417A-BC71-432278C91FF0}">
  <cacheSource type="worksheet">
    <worksheetSource ref="A1:F31" sheet="Database"/>
  </cacheSource>
  <cacheFields count="7">
    <cacheField name="ID" numFmtId="0">
      <sharedItems containsSemiMixedTypes="0" containsString="0" containsNumber="1" containsInteger="1" minValue="1001" maxValue="1010" count="10">
        <n v="1001"/>
        <n v="1002"/>
        <n v="1003"/>
        <n v="1004"/>
        <n v="1005"/>
        <n v="1006"/>
        <n v="1007"/>
        <n v="1008"/>
        <n v="1009"/>
        <n v="1010"/>
      </sharedItems>
    </cacheField>
    <cacheField name="Name" numFmtId="0">
      <sharedItems count="10">
        <s v="Nme1"/>
        <s v="Nme2"/>
        <s v="Nme3"/>
        <s v="Nme4"/>
        <s v="Nme5"/>
        <s v="Nme6"/>
        <s v="Nme7"/>
        <s v="Nme8"/>
        <s v="Nme9"/>
        <s v="Nme10"/>
      </sharedItems>
    </cacheField>
    <cacheField name="Mark" numFmtId="0">
      <sharedItems containsSemiMixedTypes="0" containsString="0" containsNumber="1" containsInteger="1" minValue="7" maxValue="98"/>
    </cacheField>
    <cacheField name="Result" numFmtId="0">
      <sharedItems count="2">
        <s v="Fail"/>
        <s v="Pass"/>
      </sharedItems>
    </cacheField>
    <cacheField name="Class" numFmtId="0">
      <sharedItems count="4">
        <s v="Fail"/>
        <s v="Pass"/>
        <s v="Disctinction"/>
        <s v="First class"/>
      </sharedItems>
    </cacheField>
    <cacheField name="Date" numFmtId="14">
      <sharedItems containsSemiMixedTypes="0" containsNonDate="0" containsDate="1" containsString="0" minDate="2024-08-04T00:00:00" maxDate="2024-08-17T00:00:00" count="6">
        <d v="2024-08-16T00:00:00"/>
        <d v="2024-08-15T00:00:00"/>
        <d v="2024-08-14T00:00:00"/>
        <d v="2024-08-06T00:00:00" u="1"/>
        <d v="2024-08-05T00:00:00" u="1"/>
        <d v="2024-08-04T00:00:00" u="1"/>
      </sharedItems>
    </cacheField>
    <cacheField name="Mark_With_Bonue" numFmtId="0" formula="Mark+ 5" databaseField="0"/>
  </cacheFields>
  <extLst>
    <ext xmlns:x14="http://schemas.microsoft.com/office/spreadsheetml/2009/9/main" uri="{725AE2AE-9491-48be-B2B4-4EB974FC3084}">
      <x14:pivotCacheDefinition pivotCacheId="10313415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70.861903240744" createdVersion="8" refreshedVersion="8" minRefreshableVersion="3" recordCount="30" xr:uid="{A57E49FA-DF24-43A4-A0B1-B9D52C4A0B35}">
  <cacheSource type="worksheet">
    <worksheetSource ref="A1:F31" sheet="Sheet1" r:id="rId2"/>
  </cacheSource>
  <cacheFields count="6">
    <cacheField name="ID" numFmtId="0">
      <sharedItems containsSemiMixedTypes="0" containsString="0" containsNumber="1" containsInteger="1" minValue="1001" maxValue="1010"/>
    </cacheField>
    <cacheField name="Name" numFmtId="0">
      <sharedItems/>
    </cacheField>
    <cacheField name="Mark" numFmtId="0">
      <sharedItems containsSemiMixedTypes="0" containsString="0" containsNumber="1" containsInteger="1" minValue="7" maxValue="98"/>
    </cacheField>
    <cacheField name="Result" numFmtId="0">
      <sharedItems count="2">
        <s v="Fail"/>
        <s v="Pass"/>
      </sharedItems>
    </cacheField>
    <cacheField name="Class" numFmtId="0">
      <sharedItems count="4">
        <s v="Fail"/>
        <s v="Pass"/>
        <s v="Disctinction"/>
        <s v="First class"/>
      </sharedItems>
    </cacheField>
    <cacheField name="Date" numFmtId="14">
      <sharedItems containsSemiMixedTypes="0" containsNonDate="0" containsDate="1" containsString="0" minDate="2024-01-15T00:00:00" maxDate="2024-08-07T00:00:00" count="6">
        <d v="2024-08-06T00:00:00"/>
        <d v="2024-08-05T00:00:00"/>
        <d v="2024-08-04T00:00:00"/>
        <d v="2024-01-17T00:00:00" u="1"/>
        <d v="2024-01-16T00:00:00" u="1"/>
        <d v="2024-01-15T00:00:00" u="1"/>
      </sharedItems>
    </cacheField>
  </cacheFields>
  <extLst>
    <ext xmlns:x14="http://schemas.microsoft.com/office/spreadsheetml/2009/9/main" uri="{725AE2AE-9491-48be-B2B4-4EB974FC3084}">
      <x14:pivotCacheDefinition pivotCacheId="185000772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refreshedDate="45925.61623240741" createdVersion="8" refreshedVersion="8" minRefreshableVersion="3" recordCount="30" xr:uid="{F57A99BE-0423-4650-8D78-229B377EA987}">
  <cacheSource type="worksheet">
    <worksheetSource ref="A1:F31" sheet="Sheet1"/>
  </cacheSource>
  <cacheFields count="6">
    <cacheField name="ID" numFmtId="0">
      <sharedItems containsSemiMixedTypes="0" containsString="0" containsNumber="1" containsInteger="1" minValue="1001" maxValue="1010"/>
    </cacheField>
    <cacheField name="Name" numFmtId="0">
      <sharedItems count="10">
        <s v="Nme1"/>
        <s v="Nme2"/>
        <s v="Nme3"/>
        <s v="Nme4"/>
        <s v="Nme5"/>
        <s v="Nme6"/>
        <s v="Nme7"/>
        <s v="Nme8"/>
        <s v="Nme9"/>
        <s v="Nme10"/>
      </sharedItems>
    </cacheField>
    <cacheField name="Mark" numFmtId="0">
      <sharedItems containsSemiMixedTypes="0" containsString="0" containsNumber="1" containsInteger="1" minValue="7" maxValue="98"/>
    </cacheField>
    <cacheField name="Result" numFmtId="0">
      <sharedItems count="2">
        <s v="Fail"/>
        <s v="Pass"/>
      </sharedItems>
    </cacheField>
    <cacheField name="Class" numFmtId="0">
      <sharedItems count="4">
        <s v="Fail"/>
        <s v="Pass"/>
        <s v="Disctinction"/>
        <s v="First class"/>
      </sharedItems>
    </cacheField>
    <cacheField name="Date" numFmtId="15">
      <sharedItems containsSemiMixedTypes="0" containsNonDate="0" containsDate="1" containsString="0" minDate="2023-12-04T00:00:00" maxDate="2025-09-26T00:00:00" count="24">
        <d v="2025-09-25T00:00:00"/>
        <d v="2025-09-24T00:00:00"/>
        <d v="2025-09-23T00:00:00"/>
        <d v="2025-02-27T00:00:00" u="1"/>
        <d v="2025-02-26T00:00:00" u="1"/>
        <d v="2025-02-25T00:00:00" u="1"/>
        <d v="2025-02-16T00:00:00" u="1"/>
        <d v="2025-02-15T00:00:00" u="1"/>
        <d v="2025-02-14T00:00:00" u="1"/>
        <d v="2024-12-31T00:00:00" u="1"/>
        <d v="2024-12-30T00:00:00" u="1"/>
        <d v="2024-12-29T00:00:00" u="1"/>
        <d v="2024-11-28T00:00:00" u="1"/>
        <d v="2024-11-27T00:00:00" u="1"/>
        <d v="2024-11-26T00:00:00" u="1"/>
        <d v="2024-08-26T00:00:00" u="1"/>
        <d v="2024-08-25T00:00:00" u="1"/>
        <d v="2024-08-24T00:00:00" u="1"/>
        <d v="2024-01-07T00:00:00" u="1"/>
        <d v="2024-01-06T00:00:00" u="1"/>
        <d v="2024-01-05T00:00:00" u="1"/>
        <d v="2023-12-06T00:00:00" u="1"/>
        <d v="2023-12-05T00:00:00" u="1"/>
        <d v="2023-12-04T00:00:00" u="1"/>
      </sharedItems>
    </cacheField>
  </cacheFields>
  <extLst>
    <ext xmlns:x14="http://schemas.microsoft.com/office/spreadsheetml/2009/9/main" uri="{725AE2AE-9491-48be-B2B4-4EB974FC3084}">
      <x14:pivotCacheDefinition pivotCacheId="810433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7"/>
    <x v="0"/>
    <x v="0"/>
    <x v="0"/>
  </r>
  <r>
    <x v="1"/>
    <x v="1"/>
    <n v="57"/>
    <x v="1"/>
    <x v="1"/>
    <x v="0"/>
  </r>
  <r>
    <x v="2"/>
    <x v="2"/>
    <n v="51"/>
    <x v="1"/>
    <x v="1"/>
    <x v="0"/>
  </r>
  <r>
    <x v="3"/>
    <x v="3"/>
    <n v="82"/>
    <x v="1"/>
    <x v="2"/>
    <x v="0"/>
  </r>
  <r>
    <x v="4"/>
    <x v="4"/>
    <n v="33"/>
    <x v="0"/>
    <x v="0"/>
    <x v="0"/>
  </r>
  <r>
    <x v="5"/>
    <x v="5"/>
    <n v="87"/>
    <x v="1"/>
    <x v="2"/>
    <x v="0"/>
  </r>
  <r>
    <x v="6"/>
    <x v="6"/>
    <n v="54"/>
    <x v="1"/>
    <x v="1"/>
    <x v="0"/>
  </r>
  <r>
    <x v="7"/>
    <x v="7"/>
    <n v="55"/>
    <x v="1"/>
    <x v="1"/>
    <x v="0"/>
  </r>
  <r>
    <x v="8"/>
    <x v="8"/>
    <n v="59"/>
    <x v="1"/>
    <x v="1"/>
    <x v="0"/>
  </r>
  <r>
    <x v="9"/>
    <x v="9"/>
    <n v="72"/>
    <x v="1"/>
    <x v="3"/>
    <x v="0"/>
  </r>
  <r>
    <x v="0"/>
    <x v="0"/>
    <n v="12"/>
    <x v="0"/>
    <x v="0"/>
    <x v="1"/>
  </r>
  <r>
    <x v="1"/>
    <x v="1"/>
    <n v="69"/>
    <x v="1"/>
    <x v="3"/>
    <x v="1"/>
  </r>
  <r>
    <x v="2"/>
    <x v="2"/>
    <n v="74"/>
    <x v="1"/>
    <x v="3"/>
    <x v="1"/>
  </r>
  <r>
    <x v="3"/>
    <x v="3"/>
    <n v="51"/>
    <x v="1"/>
    <x v="1"/>
    <x v="1"/>
  </r>
  <r>
    <x v="4"/>
    <x v="4"/>
    <n v="22"/>
    <x v="0"/>
    <x v="0"/>
    <x v="1"/>
  </r>
  <r>
    <x v="5"/>
    <x v="5"/>
    <n v="15"/>
    <x v="0"/>
    <x v="0"/>
    <x v="1"/>
  </r>
  <r>
    <x v="6"/>
    <x v="6"/>
    <n v="74"/>
    <x v="1"/>
    <x v="3"/>
    <x v="1"/>
  </r>
  <r>
    <x v="7"/>
    <x v="7"/>
    <n v="85"/>
    <x v="1"/>
    <x v="2"/>
    <x v="1"/>
  </r>
  <r>
    <x v="8"/>
    <x v="8"/>
    <n v="98"/>
    <x v="1"/>
    <x v="2"/>
    <x v="1"/>
  </r>
  <r>
    <x v="9"/>
    <x v="9"/>
    <n v="71"/>
    <x v="1"/>
    <x v="3"/>
    <x v="1"/>
  </r>
  <r>
    <x v="0"/>
    <x v="0"/>
    <n v="69"/>
    <x v="1"/>
    <x v="3"/>
    <x v="2"/>
  </r>
  <r>
    <x v="1"/>
    <x v="1"/>
    <n v="49"/>
    <x v="1"/>
    <x v="1"/>
    <x v="2"/>
  </r>
  <r>
    <x v="2"/>
    <x v="2"/>
    <n v="32"/>
    <x v="0"/>
    <x v="0"/>
    <x v="2"/>
  </r>
  <r>
    <x v="3"/>
    <x v="3"/>
    <n v="85"/>
    <x v="1"/>
    <x v="2"/>
    <x v="2"/>
  </r>
  <r>
    <x v="4"/>
    <x v="4"/>
    <n v="8"/>
    <x v="0"/>
    <x v="0"/>
    <x v="2"/>
  </r>
  <r>
    <x v="5"/>
    <x v="5"/>
    <n v="23"/>
    <x v="0"/>
    <x v="0"/>
    <x v="2"/>
  </r>
  <r>
    <x v="6"/>
    <x v="6"/>
    <n v="22"/>
    <x v="0"/>
    <x v="0"/>
    <x v="2"/>
  </r>
  <r>
    <x v="7"/>
    <x v="7"/>
    <n v="30"/>
    <x v="0"/>
    <x v="0"/>
    <x v="2"/>
  </r>
  <r>
    <x v="8"/>
    <x v="8"/>
    <n v="98"/>
    <x v="1"/>
    <x v="2"/>
    <x v="2"/>
  </r>
  <r>
    <x v="9"/>
    <x v="9"/>
    <n v="86"/>
    <x v="1"/>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s v="Nme1"/>
    <n v="7"/>
    <x v="0"/>
    <x v="0"/>
    <x v="0"/>
  </r>
  <r>
    <n v="1002"/>
    <s v="Nme2"/>
    <n v="57"/>
    <x v="1"/>
    <x v="1"/>
    <x v="0"/>
  </r>
  <r>
    <n v="1003"/>
    <s v="Nme3"/>
    <n v="51"/>
    <x v="1"/>
    <x v="1"/>
    <x v="0"/>
  </r>
  <r>
    <n v="1004"/>
    <s v="Nme4"/>
    <n v="82"/>
    <x v="1"/>
    <x v="2"/>
    <x v="0"/>
  </r>
  <r>
    <n v="1005"/>
    <s v="Nme5"/>
    <n v="33"/>
    <x v="0"/>
    <x v="0"/>
    <x v="0"/>
  </r>
  <r>
    <n v="1006"/>
    <s v="Nme6"/>
    <n v="87"/>
    <x v="1"/>
    <x v="2"/>
    <x v="0"/>
  </r>
  <r>
    <n v="1007"/>
    <s v="Nme7"/>
    <n v="54"/>
    <x v="1"/>
    <x v="1"/>
    <x v="0"/>
  </r>
  <r>
    <n v="1008"/>
    <s v="Nme8"/>
    <n v="55"/>
    <x v="1"/>
    <x v="1"/>
    <x v="0"/>
  </r>
  <r>
    <n v="1009"/>
    <s v="Nme9"/>
    <n v="59"/>
    <x v="1"/>
    <x v="1"/>
    <x v="0"/>
  </r>
  <r>
    <n v="1010"/>
    <s v="Nme10"/>
    <n v="72"/>
    <x v="1"/>
    <x v="3"/>
    <x v="0"/>
  </r>
  <r>
    <n v="1001"/>
    <s v="Nme1"/>
    <n v="12"/>
    <x v="0"/>
    <x v="0"/>
    <x v="1"/>
  </r>
  <r>
    <n v="1002"/>
    <s v="Nme2"/>
    <n v="69"/>
    <x v="1"/>
    <x v="3"/>
    <x v="1"/>
  </r>
  <r>
    <n v="1003"/>
    <s v="Nme3"/>
    <n v="74"/>
    <x v="1"/>
    <x v="3"/>
    <x v="1"/>
  </r>
  <r>
    <n v="1004"/>
    <s v="Nme4"/>
    <n v="51"/>
    <x v="1"/>
    <x v="1"/>
    <x v="1"/>
  </r>
  <r>
    <n v="1005"/>
    <s v="Nme5"/>
    <n v="22"/>
    <x v="0"/>
    <x v="0"/>
    <x v="1"/>
  </r>
  <r>
    <n v="1006"/>
    <s v="Nme6"/>
    <n v="15"/>
    <x v="0"/>
    <x v="0"/>
    <x v="1"/>
  </r>
  <r>
    <n v="1007"/>
    <s v="Nme7"/>
    <n v="74"/>
    <x v="1"/>
    <x v="3"/>
    <x v="1"/>
  </r>
  <r>
    <n v="1008"/>
    <s v="Nme8"/>
    <n v="85"/>
    <x v="1"/>
    <x v="2"/>
    <x v="1"/>
  </r>
  <r>
    <n v="1009"/>
    <s v="Nme9"/>
    <n v="98"/>
    <x v="1"/>
    <x v="2"/>
    <x v="1"/>
  </r>
  <r>
    <n v="1010"/>
    <s v="Nme10"/>
    <n v="71"/>
    <x v="1"/>
    <x v="3"/>
    <x v="1"/>
  </r>
  <r>
    <n v="1001"/>
    <s v="Nme1"/>
    <n v="69"/>
    <x v="1"/>
    <x v="3"/>
    <x v="2"/>
  </r>
  <r>
    <n v="1002"/>
    <s v="Nme2"/>
    <n v="49"/>
    <x v="1"/>
    <x v="1"/>
    <x v="2"/>
  </r>
  <r>
    <n v="1003"/>
    <s v="Nme3"/>
    <n v="32"/>
    <x v="0"/>
    <x v="0"/>
    <x v="2"/>
  </r>
  <r>
    <n v="1004"/>
    <s v="Nme4"/>
    <n v="85"/>
    <x v="1"/>
    <x v="2"/>
    <x v="2"/>
  </r>
  <r>
    <n v="1005"/>
    <s v="Nme5"/>
    <n v="8"/>
    <x v="0"/>
    <x v="0"/>
    <x v="2"/>
  </r>
  <r>
    <n v="1006"/>
    <s v="Nme6"/>
    <n v="23"/>
    <x v="0"/>
    <x v="0"/>
    <x v="2"/>
  </r>
  <r>
    <n v="1007"/>
    <s v="Nme7"/>
    <n v="22"/>
    <x v="0"/>
    <x v="0"/>
    <x v="2"/>
  </r>
  <r>
    <n v="1008"/>
    <s v="Nme8"/>
    <n v="30"/>
    <x v="0"/>
    <x v="0"/>
    <x v="2"/>
  </r>
  <r>
    <n v="1009"/>
    <s v="Nme9"/>
    <n v="98"/>
    <x v="1"/>
    <x v="2"/>
    <x v="2"/>
  </r>
  <r>
    <n v="1010"/>
    <s v="Nme10"/>
    <n v="86"/>
    <x v="1"/>
    <x v="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n v="7"/>
    <x v="0"/>
    <x v="0"/>
    <x v="0"/>
  </r>
  <r>
    <n v="1002"/>
    <x v="1"/>
    <n v="57"/>
    <x v="1"/>
    <x v="1"/>
    <x v="0"/>
  </r>
  <r>
    <n v="1003"/>
    <x v="2"/>
    <n v="51"/>
    <x v="1"/>
    <x v="1"/>
    <x v="0"/>
  </r>
  <r>
    <n v="1004"/>
    <x v="3"/>
    <n v="82"/>
    <x v="1"/>
    <x v="2"/>
    <x v="0"/>
  </r>
  <r>
    <n v="1005"/>
    <x v="4"/>
    <n v="33"/>
    <x v="0"/>
    <x v="0"/>
    <x v="0"/>
  </r>
  <r>
    <n v="1006"/>
    <x v="5"/>
    <n v="87"/>
    <x v="1"/>
    <x v="2"/>
    <x v="0"/>
  </r>
  <r>
    <n v="1007"/>
    <x v="6"/>
    <n v="54"/>
    <x v="1"/>
    <x v="1"/>
    <x v="0"/>
  </r>
  <r>
    <n v="1008"/>
    <x v="7"/>
    <n v="55"/>
    <x v="1"/>
    <x v="1"/>
    <x v="0"/>
  </r>
  <r>
    <n v="1009"/>
    <x v="8"/>
    <n v="59"/>
    <x v="1"/>
    <x v="1"/>
    <x v="0"/>
  </r>
  <r>
    <n v="1010"/>
    <x v="9"/>
    <n v="72"/>
    <x v="1"/>
    <x v="3"/>
    <x v="0"/>
  </r>
  <r>
    <n v="1001"/>
    <x v="0"/>
    <n v="12"/>
    <x v="0"/>
    <x v="0"/>
    <x v="1"/>
  </r>
  <r>
    <n v="1002"/>
    <x v="1"/>
    <n v="69"/>
    <x v="1"/>
    <x v="3"/>
    <x v="1"/>
  </r>
  <r>
    <n v="1003"/>
    <x v="2"/>
    <n v="74"/>
    <x v="1"/>
    <x v="3"/>
    <x v="1"/>
  </r>
  <r>
    <n v="1004"/>
    <x v="3"/>
    <n v="51"/>
    <x v="1"/>
    <x v="1"/>
    <x v="1"/>
  </r>
  <r>
    <n v="1005"/>
    <x v="4"/>
    <n v="22"/>
    <x v="0"/>
    <x v="0"/>
    <x v="1"/>
  </r>
  <r>
    <n v="1006"/>
    <x v="5"/>
    <n v="15"/>
    <x v="0"/>
    <x v="0"/>
    <x v="1"/>
  </r>
  <r>
    <n v="1007"/>
    <x v="6"/>
    <n v="74"/>
    <x v="1"/>
    <x v="3"/>
    <x v="1"/>
  </r>
  <r>
    <n v="1008"/>
    <x v="7"/>
    <n v="85"/>
    <x v="1"/>
    <x v="2"/>
    <x v="1"/>
  </r>
  <r>
    <n v="1009"/>
    <x v="8"/>
    <n v="98"/>
    <x v="1"/>
    <x v="2"/>
    <x v="1"/>
  </r>
  <r>
    <n v="1010"/>
    <x v="9"/>
    <n v="71"/>
    <x v="1"/>
    <x v="3"/>
    <x v="1"/>
  </r>
  <r>
    <n v="1001"/>
    <x v="0"/>
    <n v="69"/>
    <x v="1"/>
    <x v="3"/>
    <x v="2"/>
  </r>
  <r>
    <n v="1002"/>
    <x v="1"/>
    <n v="49"/>
    <x v="1"/>
    <x v="1"/>
    <x v="2"/>
  </r>
  <r>
    <n v="1003"/>
    <x v="2"/>
    <n v="32"/>
    <x v="0"/>
    <x v="0"/>
    <x v="2"/>
  </r>
  <r>
    <n v="1004"/>
    <x v="3"/>
    <n v="85"/>
    <x v="1"/>
    <x v="2"/>
    <x v="2"/>
  </r>
  <r>
    <n v="1005"/>
    <x v="4"/>
    <n v="8"/>
    <x v="0"/>
    <x v="0"/>
    <x v="2"/>
  </r>
  <r>
    <n v="1006"/>
    <x v="5"/>
    <n v="23"/>
    <x v="0"/>
    <x v="0"/>
    <x v="2"/>
  </r>
  <r>
    <n v="1007"/>
    <x v="6"/>
    <n v="22"/>
    <x v="0"/>
    <x v="0"/>
    <x v="2"/>
  </r>
  <r>
    <n v="1008"/>
    <x v="7"/>
    <n v="30"/>
    <x v="0"/>
    <x v="0"/>
    <x v="2"/>
  </r>
  <r>
    <n v="1009"/>
    <x v="8"/>
    <n v="98"/>
    <x v="1"/>
    <x v="2"/>
    <x v="2"/>
  </r>
  <r>
    <n v="1010"/>
    <x v="9"/>
    <n v="86"/>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EBE292-D4E0-4C7B-85E4-B5D78E17219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E18" firstHeaderRow="1" firstDataRow="2" firstDataCol="1" rowPageCount="1" colPageCount="1"/>
  <pivotFields count="6">
    <pivotField showAll="0"/>
    <pivotField axis="axisRow" showAll="0" sortType="descending">
      <items count="11">
        <item x="0"/>
        <item x="9"/>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showAll="0"/>
    <pivotField showAll="0">
      <items count="3">
        <item x="0"/>
        <item x="1"/>
        <item t="default"/>
      </items>
    </pivotField>
    <pivotField axis="axisPage" multipleItemSelectionAllowed="1" showAll="0">
      <items count="5">
        <item x="2"/>
        <item x="3"/>
        <item x="1"/>
        <item x="0"/>
        <item t="default"/>
      </items>
    </pivotField>
    <pivotField axis="axisCol" numFmtId="14" showAll="0">
      <items count="25">
        <item m="1" x="23"/>
        <item m="1" x="22"/>
        <item m="1" x="21"/>
        <item m="1" x="20"/>
        <item m="1" x="19"/>
        <item m="1" x="18"/>
        <item m="1" x="15"/>
        <item m="1" x="16"/>
        <item m="1" x="17"/>
        <item m="1" x="12"/>
        <item m="1" x="13"/>
        <item m="1" x="14"/>
        <item m="1" x="9"/>
        <item m="1" x="10"/>
        <item m="1" x="11"/>
        <item m="1" x="6"/>
        <item m="1" x="7"/>
        <item m="1" x="8"/>
        <item m="1" x="3"/>
        <item m="1" x="4"/>
        <item m="1" x="5"/>
        <item x="0"/>
        <item x="1"/>
        <item x="2"/>
        <item t="default"/>
      </items>
    </pivotField>
  </pivotFields>
  <rowFields count="1">
    <field x="1"/>
  </rowFields>
  <rowItems count="11">
    <i>
      <x v="9"/>
    </i>
    <i>
      <x v="1"/>
    </i>
    <i>
      <x v="4"/>
    </i>
    <i>
      <x v="2"/>
    </i>
    <i>
      <x v="8"/>
    </i>
    <i>
      <x v="3"/>
    </i>
    <i>
      <x v="7"/>
    </i>
    <i>
      <x v="6"/>
    </i>
    <i>
      <x/>
    </i>
    <i>
      <x v="5"/>
    </i>
    <i t="grand">
      <x/>
    </i>
  </rowItems>
  <colFields count="1">
    <field x="5"/>
  </colFields>
  <colItems count="4">
    <i>
      <x v="21"/>
    </i>
    <i>
      <x v="22"/>
    </i>
    <i>
      <x v="23"/>
    </i>
    <i t="grand">
      <x/>
    </i>
  </colItems>
  <pageFields count="1">
    <pageField fld="4" hier="-1"/>
  </pageFields>
  <dataFields count="1">
    <dataField name="Sum of Mark" fld="2" baseField="0" baseItem="0"/>
  </dataFields>
  <formats count="2">
    <format dxfId="15">
      <pivotArea dataOnly="0" labelOnly="1" outline="0" fieldPosition="0">
        <references count="1">
          <reference field="4" count="0"/>
        </references>
      </pivotArea>
    </format>
    <format dxfId="14">
      <pivotArea dataOnly="0" labelOnly="1" outline="0" fieldPosition="0">
        <references count="1">
          <reference field="4" count="0"/>
        </references>
      </pivotArea>
    </format>
  </formats>
  <chartFormats count="2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9"/>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4"/>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8"/>
          </reference>
        </references>
      </pivotArea>
    </chartFormat>
    <chartFormat chart="1" format="7">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2">
          <reference field="4294967294" count="1" selected="0">
            <x v="0"/>
          </reference>
          <reference field="1" count="1" selected="0">
            <x v="7"/>
          </reference>
        </references>
      </pivotArea>
    </chartFormat>
    <chartFormat chart="1" format="9">
      <pivotArea type="data" outline="0" fieldPosition="0">
        <references count="2">
          <reference field="4294967294" count="1" selected="0">
            <x v="0"/>
          </reference>
          <reference field="1" count="1" selected="0">
            <x v="6"/>
          </reference>
        </references>
      </pivotArea>
    </chartFormat>
    <chartFormat chart="1" format="10">
      <pivotArea type="data" outline="0" fieldPosition="0">
        <references count="2">
          <reference field="4294967294" count="1" selected="0">
            <x v="0"/>
          </reference>
          <reference field="1" count="1" selected="0">
            <x v="0"/>
          </reference>
        </references>
      </pivotArea>
    </chartFormat>
    <chartFormat chart="1" format="11">
      <pivotArea type="data" outline="0" fieldPosition="0">
        <references count="2">
          <reference field="4294967294" count="1" selected="0">
            <x v="0"/>
          </reference>
          <reference field="1" count="1" selected="0">
            <x v="5"/>
          </reference>
        </references>
      </pivotArea>
    </chartFormat>
    <chartFormat chart="5" format="0" series="1">
      <pivotArea type="data" outline="0" fieldPosition="0">
        <references count="1">
          <reference field="4294967294" count="1" selected="0">
            <x v="0"/>
          </reference>
        </references>
      </pivotArea>
    </chartFormat>
    <chartFormat chart="5" format="5" series="1">
      <pivotArea type="data" outline="0" fieldPosition="0">
        <references count="2">
          <reference field="4294967294" count="1" selected="0">
            <x v="0"/>
          </reference>
          <reference field="5" count="1" selected="0">
            <x v="7"/>
          </reference>
        </references>
      </pivotArea>
    </chartFormat>
    <chartFormat chart="5" format="6" series="1">
      <pivotArea type="data" outline="0" fieldPosition="0">
        <references count="2">
          <reference field="4294967294" count="1" selected="0">
            <x v="0"/>
          </reference>
          <reference field="5" count="1" selected="0">
            <x v="8"/>
          </reference>
        </references>
      </pivotArea>
    </chartFormat>
    <chartFormat chart="5" format="7" series="1">
      <pivotArea type="data" outline="0" fieldPosition="0">
        <references count="2">
          <reference field="4294967294" count="1" selected="0">
            <x v="0"/>
          </reference>
          <reference field="5" count="1" selected="0">
            <x v="10"/>
          </reference>
        </references>
      </pivotArea>
    </chartFormat>
    <chartFormat chart="5" format="8" series="1">
      <pivotArea type="data" outline="0" fieldPosition="0">
        <references count="2">
          <reference field="4294967294" count="1" selected="0">
            <x v="0"/>
          </reference>
          <reference field="5" count="1" selected="0">
            <x v="11"/>
          </reference>
        </references>
      </pivotArea>
    </chartFormat>
    <chartFormat chart="5" format="9" series="1">
      <pivotArea type="data" outline="0" fieldPosition="0">
        <references count="2">
          <reference field="4294967294" count="1" selected="0">
            <x v="0"/>
          </reference>
          <reference field="5" count="1" selected="0">
            <x v="13"/>
          </reference>
        </references>
      </pivotArea>
    </chartFormat>
    <chartFormat chart="5" format="10" series="1">
      <pivotArea type="data" outline="0" fieldPosition="0">
        <references count="2">
          <reference field="4294967294" count="1" selected="0">
            <x v="0"/>
          </reference>
          <reference field="5" count="1" selected="0">
            <x v="14"/>
          </reference>
        </references>
      </pivotArea>
    </chartFormat>
    <chartFormat chart="5" format="11" series="1">
      <pivotArea type="data" outline="0" fieldPosition="0">
        <references count="2">
          <reference field="4294967294" count="1" selected="0">
            <x v="0"/>
          </reference>
          <reference field="5" count="1" selected="0">
            <x v="16"/>
          </reference>
        </references>
      </pivotArea>
    </chartFormat>
    <chartFormat chart="5" format="12" series="1">
      <pivotArea type="data" outline="0" fieldPosition="0">
        <references count="2">
          <reference field="4294967294" count="1" selected="0">
            <x v="0"/>
          </reference>
          <reference field="5" count="1" selected="0">
            <x v="17"/>
          </reference>
        </references>
      </pivotArea>
    </chartFormat>
    <chartFormat chart="5" format="13" series="1">
      <pivotArea type="data" outline="0" fieldPosition="0">
        <references count="2">
          <reference field="4294967294" count="1" selected="0">
            <x v="0"/>
          </reference>
          <reference field="5" count="1" selected="0">
            <x v="19"/>
          </reference>
        </references>
      </pivotArea>
    </chartFormat>
    <chartFormat chart="5" format="14" series="1">
      <pivotArea type="data" outline="0" fieldPosition="0">
        <references count="2">
          <reference field="4294967294" count="1" selected="0">
            <x v="0"/>
          </reference>
          <reference field="5" count="1" selected="0">
            <x v="20"/>
          </reference>
        </references>
      </pivotArea>
    </chartFormat>
    <chartFormat chart="11" format="0" series="1">
      <pivotArea type="data" outline="0" fieldPosition="0">
        <references count="2">
          <reference field="4294967294" count="1" selected="0">
            <x v="0"/>
          </reference>
          <reference field="5" count="1" selected="0">
            <x v="21"/>
          </reference>
        </references>
      </pivotArea>
    </chartFormat>
    <chartFormat chart="11" format="1" series="1">
      <pivotArea type="data" outline="0" fieldPosition="0">
        <references count="2">
          <reference field="4294967294" count="1" selected="0">
            <x v="0"/>
          </reference>
          <reference field="5" count="1" selected="0">
            <x v="22"/>
          </reference>
        </references>
      </pivotArea>
    </chartFormat>
    <chartFormat chart="11" format="2" series="1">
      <pivotArea type="data" outline="0" fieldPosition="0">
        <references count="2">
          <reference field="4294967294" count="1" selected="0">
            <x v="0"/>
          </reference>
          <reference field="5" count="1" selected="0">
            <x v="23"/>
          </reference>
        </references>
      </pivotArea>
    </chartFormat>
    <chartFormat chart="15" format="0" series="1">
      <pivotArea type="data" outline="0" fieldPosition="0">
        <references count="2">
          <reference field="4294967294" count="1" selected="0">
            <x v="0"/>
          </reference>
          <reference field="5" count="1" selected="0">
            <x v="21"/>
          </reference>
        </references>
      </pivotArea>
    </chartFormat>
    <chartFormat chart="15" format="1" series="1">
      <pivotArea type="data" outline="0" fieldPosition="0">
        <references count="2">
          <reference field="4294967294" count="1" selected="0">
            <x v="0"/>
          </reference>
          <reference field="5" count="1" selected="0">
            <x v="22"/>
          </reference>
        </references>
      </pivotArea>
    </chartFormat>
    <chartFormat chart="15" format="2" series="1">
      <pivotArea type="data" outline="0" fieldPosition="0">
        <references count="2">
          <reference field="4294967294" count="1" selected="0">
            <x v="0"/>
          </reference>
          <reference field="5"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31866-B6DB-4E7C-800E-AF895AA74FF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C15" firstHeaderRow="1" firstDataRow="1" firstDataCol="1"/>
  <pivotFields count="6">
    <pivotField showAll="0"/>
    <pivotField axis="axisRow" showAll="0" sortType="descending">
      <items count="11">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5" showAll="0"/>
  </pivotFields>
  <rowFields count="1">
    <field x="1"/>
  </rowFields>
  <rowItems count="11">
    <i>
      <x v="1"/>
    </i>
    <i>
      <x/>
    </i>
    <i>
      <x v="6"/>
    </i>
    <i>
      <x v="8"/>
    </i>
    <i>
      <x v="2"/>
    </i>
    <i>
      <x v="7"/>
    </i>
    <i>
      <x v="3"/>
    </i>
    <i>
      <x v="4"/>
    </i>
    <i>
      <x v="9"/>
    </i>
    <i>
      <x v="5"/>
    </i>
    <i t="grand">
      <x/>
    </i>
  </rowItems>
  <colItems count="1">
    <i/>
  </colItems>
  <dataFields count="1">
    <dataField name="Sum of Mark" fld="2"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E74F55-269A-42C3-A7B9-D2EBEB8F2FC6}"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Y9" firstHeaderRow="1" firstDataRow="2" firstDataCol="1"/>
  <pivotFields count="6">
    <pivotField showAll="0"/>
    <pivotField showAll="0"/>
    <pivotField dataField="1" showAll="0"/>
    <pivotField axis="axisCol" showAll="0">
      <items count="3">
        <item x="1"/>
        <item x="0"/>
        <item t="default"/>
      </items>
    </pivotField>
    <pivotField showAll="0"/>
    <pivotField axis="axisRow" numFmtId="14" showAll="0">
      <items count="25">
        <item m="1" x="23"/>
        <item m="1" x="22"/>
        <item m="1" x="21"/>
        <item m="1" x="20"/>
        <item m="1" x="19"/>
        <item m="1" x="18"/>
        <item m="1" x="15"/>
        <item m="1" x="16"/>
        <item m="1" x="17"/>
        <item m="1" x="12"/>
        <item m="1" x="13"/>
        <item m="1" x="14"/>
        <item m="1" x="9"/>
        <item m="1" x="10"/>
        <item m="1" x="11"/>
        <item m="1" x="6"/>
        <item m="1" x="7"/>
        <item m="1" x="8"/>
        <item m="1" x="3"/>
        <item m="1" x="4"/>
        <item m="1" x="5"/>
        <item x="0"/>
        <item x="1"/>
        <item x="2"/>
        <item t="default"/>
      </items>
    </pivotField>
  </pivotFields>
  <rowFields count="1">
    <field x="5"/>
  </rowFields>
  <rowItems count="4">
    <i>
      <x v="21"/>
    </i>
    <i>
      <x v="22"/>
    </i>
    <i>
      <x v="23"/>
    </i>
    <i t="grand">
      <x/>
    </i>
  </rowItems>
  <colFields count="1">
    <field x="3"/>
  </colFields>
  <colItems count="3">
    <i>
      <x/>
    </i>
    <i>
      <x v="1"/>
    </i>
    <i t="grand">
      <x/>
    </i>
  </colItems>
  <dataFields count="1">
    <dataField name="Sum of Mark" fld="2" baseField="0" baseItem="0"/>
  </dataFields>
  <formats count="2">
    <format dxfId="4">
      <pivotArea grandRow="1" grandCol="1" outline="0" collapsedLevelsAreSubtotals="1" fieldPosition="0"/>
    </format>
    <format dxfId="3">
      <pivotArea field="5" grandCol="1" collapsedLevelsAreSubtotals="1" axis="axisRow"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4570F-370B-430D-BCDC-E81BE29B018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S9" firstHeaderRow="1" firstDataRow="2" firstDataCol="1" rowPageCount="1" colPageCount="1"/>
  <pivotFields count="6">
    <pivotField showAll="0"/>
    <pivotField axis="axisCol" showAll="0">
      <items count="11">
        <item x="0"/>
        <item x="9"/>
        <item x="1"/>
        <item x="2"/>
        <item x="3"/>
        <item x="4"/>
        <item x="5"/>
        <item x="6"/>
        <item x="7"/>
        <item x="8"/>
        <item t="default"/>
      </items>
    </pivotField>
    <pivotField dataField="1" showAll="0"/>
    <pivotField showAll="0">
      <items count="3">
        <item x="0"/>
        <item x="1"/>
        <item t="default"/>
      </items>
    </pivotField>
    <pivotField axis="axisPage" multipleItemSelectionAllowed="1" showAll="0">
      <items count="5">
        <item x="2"/>
        <item x="3"/>
        <item x="1"/>
        <item x="0"/>
        <item t="default"/>
      </items>
    </pivotField>
    <pivotField axis="axisRow" numFmtId="14" showAll="0">
      <items count="25">
        <item m="1" x="23"/>
        <item m="1" x="22"/>
        <item m="1" x="21"/>
        <item m="1" x="20"/>
        <item m="1" x="19"/>
        <item m="1" x="18"/>
        <item m="1" x="15"/>
        <item m="1" x="16"/>
        <item m="1" x="17"/>
        <item m="1" x="12"/>
        <item m="1" x="13"/>
        <item m="1" x="14"/>
        <item m="1" x="9"/>
        <item m="1" x="10"/>
        <item m="1" x="11"/>
        <item m="1" x="6"/>
        <item m="1" x="7"/>
        <item m="1" x="8"/>
        <item m="1" x="3"/>
        <item m="1" x="4"/>
        <item m="1" x="5"/>
        <item x="0"/>
        <item x="1"/>
        <item x="2"/>
        <item t="default"/>
      </items>
    </pivotField>
  </pivotFields>
  <rowFields count="1">
    <field x="5"/>
  </rowFields>
  <rowItems count="4">
    <i>
      <x v="21"/>
    </i>
    <i>
      <x v="22"/>
    </i>
    <i>
      <x v="23"/>
    </i>
    <i t="grand">
      <x/>
    </i>
  </rowItems>
  <colFields count="1">
    <field x="1"/>
  </colFields>
  <colItems count="11">
    <i>
      <x/>
    </i>
    <i>
      <x v="1"/>
    </i>
    <i>
      <x v="2"/>
    </i>
    <i>
      <x v="3"/>
    </i>
    <i>
      <x v="4"/>
    </i>
    <i>
      <x v="5"/>
    </i>
    <i>
      <x v="6"/>
    </i>
    <i>
      <x v="7"/>
    </i>
    <i>
      <x v="8"/>
    </i>
    <i>
      <x v="9"/>
    </i>
    <i t="grand">
      <x/>
    </i>
  </colItems>
  <pageFields count="1">
    <pageField fld="4" hier="-1"/>
  </pageFields>
  <dataFields count="1">
    <dataField name="Sum of Mark" fld="2" baseField="5" baseItem="9"/>
  </dataFields>
  <formats count="5">
    <format dxfId="9">
      <pivotArea grandRow="1" grandCol="1" outline="0" collapsedLevelsAreSubtotals="1" fieldPosition="0"/>
    </format>
    <format dxfId="8">
      <pivotArea field="5" grandCol="1" collapsedLevelsAreSubtotals="1" axis="axisRow" fieldPosition="0">
        <references count="1">
          <reference field="5" count="0"/>
        </references>
      </pivotArea>
    </format>
    <format dxfId="7">
      <pivotArea collapsedLevelsAreSubtotals="1" fieldPosition="0">
        <references count="2">
          <reference field="1" count="1" selected="0">
            <x v="0"/>
          </reference>
          <reference field="5" count="0"/>
        </references>
      </pivotArea>
    </format>
    <format dxfId="6">
      <pivotArea dataOnly="0" labelOnly="1" outline="0" fieldPosition="0">
        <references count="1">
          <reference field="4" count="0"/>
        </references>
      </pivotArea>
    </format>
    <format dxfId="5">
      <pivotArea dataOnly="0" labelOnly="1" outline="0" fieldPosition="0">
        <references count="1">
          <reference field="4" count="0"/>
        </references>
      </pivotArea>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6F14FF-A50D-4745-8932-671510960D64}"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E16" firstHeaderRow="1" firstDataRow="2" firstDataCol="1"/>
  <pivotFields count="6">
    <pivotField showAll="0"/>
    <pivotField axis="axisRow" showAll="0">
      <items count="11">
        <item x="0"/>
        <item x="9"/>
        <item x="1"/>
        <item x="2"/>
        <item x="3"/>
        <item x="4"/>
        <item x="5"/>
        <item x="6"/>
        <item x="7"/>
        <item x="8"/>
        <item t="default"/>
      </items>
    </pivotField>
    <pivotField dataField="1" showAll="0"/>
    <pivotField showAll="0"/>
    <pivotField showAll="0"/>
    <pivotField axis="axisCol" numFmtId="14" showAll="0">
      <items count="25">
        <item m="1" x="23"/>
        <item m="1" x="22"/>
        <item m="1" x="21"/>
        <item m="1" x="20"/>
        <item m="1" x="19"/>
        <item m="1" x="18"/>
        <item m="1" x="15"/>
        <item m="1" x="16"/>
        <item m="1" x="17"/>
        <item m="1" x="12"/>
        <item m="1" x="13"/>
        <item m="1" x="14"/>
        <item m="1" x="9"/>
        <item m="1" x="10"/>
        <item m="1" x="11"/>
        <item m="1" x="6"/>
        <item m="1" x="7"/>
        <item m="1" x="8"/>
        <item m="1" x="3"/>
        <item m="1" x="4"/>
        <item m="1" x="5"/>
        <item x="0"/>
        <item x="1"/>
        <item x="2"/>
        <item t="default"/>
      </items>
    </pivotField>
  </pivotFields>
  <rowFields count="1">
    <field x="1"/>
  </rowFields>
  <rowItems count="11">
    <i>
      <x/>
    </i>
    <i>
      <x v="1"/>
    </i>
    <i>
      <x v="2"/>
    </i>
    <i>
      <x v="3"/>
    </i>
    <i>
      <x v="4"/>
    </i>
    <i>
      <x v="5"/>
    </i>
    <i>
      <x v="6"/>
    </i>
    <i>
      <x v="7"/>
    </i>
    <i>
      <x v="8"/>
    </i>
    <i>
      <x v="9"/>
    </i>
    <i t="grand">
      <x/>
    </i>
  </rowItems>
  <colFields count="1">
    <field x="5"/>
  </colFields>
  <colItems count="4">
    <i>
      <x v="21"/>
    </i>
    <i>
      <x v="22"/>
    </i>
    <i>
      <x v="23"/>
    </i>
    <i t="grand">
      <x/>
    </i>
  </colItems>
  <dataFields count="1">
    <dataField name="Sum of Mark" fld="2" baseField="0" baseItem="0"/>
  </dataFields>
  <formats count="3">
    <format dxfId="12">
      <pivotArea grandRow="1" grandCol="1" outline="0" collapsedLevelsAreSubtotals="1" fieldPosition="0"/>
    </format>
    <format dxfId="11">
      <pivotArea field="5" grandRow="1" collapsedLevelsAreSubtotals="1" axis="axisCol" fieldPosition="0">
        <references count="1">
          <reference field="5" count="0"/>
        </references>
      </pivotArea>
    </format>
    <format dxfId="10">
      <pivotArea collapsedLevelsAreSubtotals="1" fieldPosition="0">
        <references count="2">
          <reference field="1" count="1" selected="0">
            <x v="0"/>
          </reference>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7CA93C-E848-4B4A-AE24-E707BA6870E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7:K12" firstHeaderRow="1" firstDataRow="2" firstDataCol="1" rowPageCount="1" colPageCount="1"/>
  <pivotFields count="6">
    <pivotField showAll="0"/>
    <pivotField showAll="0"/>
    <pivotField dataField="1" showAll="0"/>
    <pivotField axis="axisCol" showAll="0">
      <items count="3">
        <item x="1"/>
        <item x="0"/>
        <item t="default"/>
      </items>
    </pivotField>
    <pivotField axis="axisPage" multipleItemSelectionAllowed="1" showAll="0">
      <items count="5">
        <item x="2"/>
        <item h="1" x="3"/>
        <item x="1"/>
        <item x="0"/>
        <item t="default"/>
      </items>
    </pivotField>
    <pivotField axis="axisRow" numFmtId="14" showAll="0">
      <items count="7">
        <item m="1" x="5"/>
        <item m="1" x="4"/>
        <item m="1" x="3"/>
        <item x="0"/>
        <item x="1"/>
        <item x="2"/>
        <item t="default"/>
      </items>
    </pivotField>
  </pivotFields>
  <rowFields count="1">
    <field x="5"/>
  </rowFields>
  <rowItems count="4">
    <i>
      <x v="3"/>
    </i>
    <i>
      <x v="4"/>
    </i>
    <i>
      <x v="5"/>
    </i>
    <i t="grand">
      <x/>
    </i>
  </rowItems>
  <colFields count="1">
    <field x="3"/>
  </colFields>
  <colItems count="3">
    <i>
      <x/>
    </i>
    <i>
      <x v="1"/>
    </i>
    <i t="grand">
      <x/>
    </i>
  </colItems>
  <pageFields count="1">
    <pageField fld="4" hier="-1"/>
  </pageFields>
  <dataFields count="1">
    <dataField name="Sum of Mark" fld="2" baseField="0" baseItem="0"/>
  </dataFields>
  <formats count="1">
    <format dxfId="1">
      <pivotArea dataOnly="0" labelOnly="1" outline="0" fieldPosition="0">
        <references count="1">
          <reference field="4" count="0"/>
        </references>
      </pivotArea>
    </format>
  </formats>
  <chartFormats count="2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3">
          <reference field="4294967294" count="1" selected="0">
            <x v="0"/>
          </reference>
          <reference field="3" count="1" selected="0">
            <x v="0"/>
          </reference>
          <reference field="5" count="1" selected="0">
            <x v="0"/>
          </reference>
        </references>
      </pivotArea>
    </chartFormat>
    <chartFormat chart="2" format="3">
      <pivotArea type="data" outline="0" fieldPosition="0">
        <references count="3">
          <reference field="4294967294" count="1" selected="0">
            <x v="0"/>
          </reference>
          <reference field="3" count="1" selected="0">
            <x v="0"/>
          </reference>
          <reference field="5" count="1" selected="0">
            <x v="1"/>
          </reference>
        </references>
      </pivotArea>
    </chartFormat>
    <chartFormat chart="2" format="4">
      <pivotArea type="data" outline="0" fieldPosition="0">
        <references count="3">
          <reference field="4294967294" count="1" selected="0">
            <x v="0"/>
          </reference>
          <reference field="3" count="1" selected="0">
            <x v="0"/>
          </reference>
          <reference field="5" count="1" selected="0">
            <x v="2"/>
          </reference>
        </references>
      </pivotArea>
    </chartFormat>
    <chartFormat chart="2" format="5">
      <pivotArea type="data" outline="0" fieldPosition="0">
        <references count="3">
          <reference field="4294967294" count="1" selected="0">
            <x v="0"/>
          </reference>
          <reference field="3" count="1" selected="0">
            <x v="1"/>
          </reference>
          <reference field="5" count="1" selected="0">
            <x v="0"/>
          </reference>
        </references>
      </pivotArea>
    </chartFormat>
    <chartFormat chart="2" format="6">
      <pivotArea type="data" outline="0" fieldPosition="0">
        <references count="3">
          <reference field="4294967294" count="1" selected="0">
            <x v="0"/>
          </reference>
          <reference field="3" count="1" selected="0">
            <x v="1"/>
          </reference>
          <reference field="5" count="1" selected="0">
            <x v="1"/>
          </reference>
        </references>
      </pivotArea>
    </chartFormat>
    <chartFormat chart="2" format="7">
      <pivotArea type="data" outline="0" fieldPosition="0">
        <references count="3">
          <reference field="4294967294" count="1" selected="0">
            <x v="0"/>
          </reference>
          <reference field="3" count="1" selected="0">
            <x v="1"/>
          </reference>
          <reference field="5" count="1" selected="0">
            <x v="2"/>
          </reference>
        </references>
      </pivotArea>
    </chartFormat>
    <chartFormat chart="2" format="8">
      <pivotArea type="data" outline="0" fieldPosition="0">
        <references count="3">
          <reference field="4294967294" count="1" selected="0">
            <x v="0"/>
          </reference>
          <reference field="3" count="1" selected="0">
            <x v="0"/>
          </reference>
          <reference field="5" count="1" selected="0">
            <x v="3"/>
          </reference>
        </references>
      </pivotArea>
    </chartFormat>
    <chartFormat chart="2" format="9">
      <pivotArea type="data" outline="0" fieldPosition="0">
        <references count="3">
          <reference field="4294967294" count="1" selected="0">
            <x v="0"/>
          </reference>
          <reference field="3" count="1" selected="0">
            <x v="0"/>
          </reference>
          <reference field="5" count="1" selected="0">
            <x v="4"/>
          </reference>
        </references>
      </pivotArea>
    </chartFormat>
    <chartFormat chart="2" format="10">
      <pivotArea type="data" outline="0" fieldPosition="0">
        <references count="3">
          <reference field="4294967294" count="1" selected="0">
            <x v="0"/>
          </reference>
          <reference field="3" count="1" selected="0">
            <x v="0"/>
          </reference>
          <reference field="5" count="1" selected="0">
            <x v="5"/>
          </reference>
        </references>
      </pivotArea>
    </chartFormat>
    <chartFormat chart="2" format="11">
      <pivotArea type="data" outline="0" fieldPosition="0">
        <references count="3">
          <reference field="4294967294" count="1" selected="0">
            <x v="0"/>
          </reference>
          <reference field="3" count="1" selected="0">
            <x v="1"/>
          </reference>
          <reference field="5" count="1" selected="0">
            <x v="3"/>
          </reference>
        </references>
      </pivotArea>
    </chartFormat>
    <chartFormat chart="2" format="12">
      <pivotArea type="data" outline="0" fieldPosition="0">
        <references count="3">
          <reference field="4294967294" count="1" selected="0">
            <x v="0"/>
          </reference>
          <reference field="3" count="1" selected="0">
            <x v="1"/>
          </reference>
          <reference field="5" count="1" selected="0">
            <x v="4"/>
          </reference>
        </references>
      </pivotArea>
    </chartFormat>
    <chartFormat chart="2" format="13">
      <pivotArea type="data" outline="0" fieldPosition="0">
        <references count="3">
          <reference field="4294967294" count="1" selected="0">
            <x v="0"/>
          </reference>
          <reference field="3" count="1" selected="0">
            <x v="1"/>
          </reference>
          <reference field="5" count="1" selected="0">
            <x v="5"/>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14A731-93E0-4FB4-B9B7-1FFB91A373F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6">
    <pivotField showAll="0"/>
    <pivotField showAll="0"/>
    <pivotField dataField="1" showAll="0"/>
    <pivotField axis="axisCol" showAll="0">
      <items count="3">
        <item x="1"/>
        <item x="0"/>
        <item t="default"/>
      </items>
    </pivotField>
    <pivotField showAll="0"/>
    <pivotField axis="axisRow" numFmtId="14" showAll="0">
      <items count="7">
        <item m="1" x="5"/>
        <item m="1" x="4"/>
        <item m="1" x="3"/>
        <item x="0"/>
        <item x="1"/>
        <item x="2"/>
        <item t="default"/>
      </items>
    </pivotField>
  </pivotFields>
  <rowFields count="1">
    <field x="5"/>
  </rowFields>
  <rowItems count="4">
    <i>
      <x v="3"/>
    </i>
    <i>
      <x v="4"/>
    </i>
    <i>
      <x v="5"/>
    </i>
    <i t="grand">
      <x/>
    </i>
  </rowItems>
  <colFields count="1">
    <field x="3"/>
  </colFields>
  <colItems count="3">
    <i>
      <x/>
    </i>
    <i>
      <x v="1"/>
    </i>
    <i t="grand">
      <x/>
    </i>
  </colItems>
  <dataFields count="1">
    <dataField name="Average of Mark" fld="2"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7D62A4-502C-4DD3-A3F3-E663E89CB839}"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F6" firstHeaderRow="1" firstDataRow="2" firstDataCol="1"/>
  <pivotFields count="6">
    <pivotField showAll="0"/>
    <pivotField showAll="0"/>
    <pivotField dataField="1" showAll="0"/>
    <pivotField showAll="0"/>
    <pivotField axis="axisCol" showAll="0">
      <items count="5">
        <item x="0"/>
        <item x="1"/>
        <item x="3"/>
        <item x="2"/>
        <item t="default"/>
      </items>
    </pivotField>
    <pivotField axis="axisRow" numFmtId="14" showAll="0">
      <items count="25">
        <item m="1" x="23"/>
        <item m="1" x="22"/>
        <item m="1" x="21"/>
        <item m="1" x="20"/>
        <item m="1" x="19"/>
        <item m="1" x="18"/>
        <item m="1" x="15"/>
        <item m="1" x="16"/>
        <item m="1" x="17"/>
        <item m="1" x="12"/>
        <item m="1" x="13"/>
        <item m="1" x="14"/>
        <item m="1" x="9"/>
        <item m="1" x="10"/>
        <item m="1" x="11"/>
        <item m="1" x="6"/>
        <item m="1" x="7"/>
        <item m="1" x="8"/>
        <item m="1" x="3"/>
        <item m="1" x="4"/>
        <item m="1" x="5"/>
        <item x="0"/>
        <item x="1"/>
        <item x="2"/>
        <item t="default"/>
      </items>
    </pivotField>
  </pivotFields>
  <rowFields count="1">
    <field x="5"/>
  </rowFields>
  <rowItems count="4">
    <i>
      <x v="21"/>
    </i>
    <i>
      <x v="22"/>
    </i>
    <i>
      <x v="23"/>
    </i>
    <i t="grand">
      <x/>
    </i>
  </rowItems>
  <colFields count="1">
    <field x="4"/>
  </colFields>
  <colItems count="5">
    <i>
      <x/>
    </i>
    <i>
      <x v="1"/>
    </i>
    <i>
      <x v="2"/>
    </i>
    <i>
      <x v="3"/>
    </i>
    <i t="grand">
      <x/>
    </i>
  </colItems>
  <dataFields count="1">
    <dataField name="Sum of Mark" fld="2" baseField="0" baseItem="0"/>
  </dataFields>
  <formats count="1">
    <format dxfId="13">
      <pivotArea dataOnly="0" labelOnly="1" fieldPosition="0">
        <references count="1">
          <reference field="4" count="0"/>
        </references>
      </pivotArea>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0"/>
          </reference>
        </references>
      </pivotArea>
    </chartFormat>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3"/>
          </reference>
        </references>
      </pivotArea>
    </chartFormat>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2">
          <reference field="4294967294" count="1" selected="0">
            <x v="0"/>
          </reference>
          <reference field="4" count="1" selected="0">
            <x v="2"/>
          </reference>
        </references>
      </pivotArea>
    </chartFormat>
    <chartFormat chart="6" format="7"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D78AA1-7EC5-49B3-9086-587EAF5C8B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8" firstHeaderRow="1" firstDataRow="2" firstDataCol="1"/>
  <pivotFields count="7">
    <pivotField axis="axisCol" showAll="0">
      <items count="11">
        <item x="0"/>
        <item x="1"/>
        <item x="2"/>
        <item x="3"/>
        <item x="4"/>
        <item x="5"/>
        <item x="6"/>
        <item x="7"/>
        <item x="8"/>
        <item x="9"/>
        <item t="default"/>
      </items>
    </pivotField>
    <pivotField showAll="0"/>
    <pivotField dataField="1" showAll="0"/>
    <pivotField showAll="0"/>
    <pivotField showAll="0"/>
    <pivotField axis="axisRow" numFmtId="14" showAll="0">
      <items count="7">
        <item m="1" x="5"/>
        <item m="1" x="4"/>
        <item m="1" x="3"/>
        <item x="2"/>
        <item x="1"/>
        <item x="0"/>
        <item t="default"/>
      </items>
    </pivotField>
    <pivotField dragToRow="0" dragToCol="0" dragToPage="0" showAll="0" defaultSubtotal="0"/>
  </pivotFields>
  <rowFields count="1">
    <field x="5"/>
  </rowFields>
  <rowItems count="4">
    <i>
      <x v="3"/>
    </i>
    <i>
      <x v="4"/>
    </i>
    <i>
      <x v="5"/>
    </i>
    <i t="grand">
      <x/>
    </i>
  </rowItems>
  <colFields count="1">
    <field x="0"/>
  </colFields>
  <colItems count="11">
    <i>
      <x/>
    </i>
    <i>
      <x v="1"/>
    </i>
    <i>
      <x v="2"/>
    </i>
    <i>
      <x v="3"/>
    </i>
    <i>
      <x v="4"/>
    </i>
    <i>
      <x v="5"/>
    </i>
    <i>
      <x v="6"/>
    </i>
    <i>
      <x v="7"/>
    </i>
    <i>
      <x v="8"/>
    </i>
    <i>
      <x v="9"/>
    </i>
    <i t="grand">
      <x/>
    </i>
  </colItems>
  <dataFields count="1">
    <dataField name="Sum of Mark" fld="2" baseField="0" baseItem="0"/>
  </dataFields>
  <formats count="1">
    <format dxfId="0">
      <pivotArea collapsedLevelsAreSubtotals="1" fieldPosition="0">
        <references count="2">
          <reference field="0" count="1" selected="0">
            <x v="0"/>
          </reference>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ACB371-3A1D-4C81-A43F-302F270D16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7">
    <pivotField showAll="0"/>
    <pivotField axis="axisRow" showAll="0" sortType="descending">
      <items count="11">
        <item x="8"/>
        <item x="7"/>
        <item x="6"/>
        <item x="5"/>
        <item x="4"/>
        <item x="3"/>
        <item x="2"/>
        <item x="1"/>
        <item x="9"/>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4" showAll="0"/>
    <pivotField dragToRow="0" dragToCol="0" dragToPage="0" showAll="0" defaultSubtotal="0"/>
  </pivotFields>
  <rowFields count="1">
    <field x="1"/>
  </rowFields>
  <rowItems count="11">
    <i>
      <x/>
    </i>
    <i>
      <x v="8"/>
    </i>
    <i>
      <x v="5"/>
    </i>
    <i>
      <x v="7"/>
    </i>
    <i>
      <x v="1"/>
    </i>
    <i>
      <x v="6"/>
    </i>
    <i>
      <x v="2"/>
    </i>
    <i>
      <x v="3"/>
    </i>
    <i>
      <x v="9"/>
    </i>
    <i>
      <x v="4"/>
    </i>
    <i t="grand">
      <x/>
    </i>
  </rowItems>
  <colItems count="1">
    <i/>
  </colItems>
  <dataFields count="1">
    <dataField name="Sum of Mark"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25EA04-AAB5-4CD3-B4FF-D9322CF638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6" firstHeaderRow="1" firstDataRow="3" firstDataCol="1"/>
  <pivotFields count="7">
    <pivotField showAll="0"/>
    <pivotField axis="axisRow" showAll="0">
      <items count="11">
        <item x="0"/>
        <item x="1"/>
        <item x="2"/>
        <item x="3"/>
        <item x="4"/>
        <item x="5"/>
        <item x="6"/>
        <item x="7"/>
        <item x="8"/>
        <item x="9"/>
        <item t="default"/>
      </items>
    </pivotField>
    <pivotField dataField="1" showAll="0"/>
    <pivotField showAll="0"/>
    <pivotField showAll="0"/>
    <pivotField axis="axisCol" numFmtId="14" showAll="0">
      <items count="7">
        <item m="1" x="5"/>
        <item m="1" x="4"/>
        <item m="1" x="3"/>
        <item x="2"/>
        <item x="1"/>
        <item x="0"/>
        <item t="default"/>
      </items>
    </pivotField>
    <pivotField dataField="1" dragToRow="0" dragToCol="0" dragToPage="0" showAll="0" defaultSubtotal="0"/>
  </pivotFields>
  <rowFields count="1">
    <field x="1"/>
  </rowFields>
  <rowItems count="11">
    <i>
      <x/>
    </i>
    <i>
      <x v="1"/>
    </i>
    <i>
      <x v="2"/>
    </i>
    <i>
      <x v="3"/>
    </i>
    <i>
      <x v="4"/>
    </i>
    <i>
      <x v="5"/>
    </i>
    <i>
      <x v="6"/>
    </i>
    <i>
      <x v="7"/>
    </i>
    <i>
      <x v="8"/>
    </i>
    <i>
      <x v="9"/>
    </i>
    <i t="grand">
      <x/>
    </i>
  </rowItems>
  <colFields count="2">
    <field x="5"/>
    <field x="-2"/>
  </colFields>
  <colItems count="8">
    <i>
      <x v="3"/>
      <x/>
    </i>
    <i r="1" i="1">
      <x v="1"/>
    </i>
    <i>
      <x v="4"/>
      <x/>
    </i>
    <i r="1" i="1">
      <x v="1"/>
    </i>
    <i>
      <x v="5"/>
      <x/>
    </i>
    <i r="1" i="1">
      <x v="1"/>
    </i>
    <i t="grand">
      <x/>
    </i>
    <i t="grand" i="1">
      <x/>
    </i>
  </colItems>
  <dataFields count="2">
    <dataField name="Sum of Mark" fld="2" baseField="0" baseItem="0"/>
    <dataField name="Sum of Mark_With_Bo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17FCFB-F80E-420A-9B5E-B6D7543D62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8" firstHeaderRow="1" firstDataRow="2" firstDataCol="1" rowPageCount="1" colPageCount="1"/>
  <pivotFields count="7">
    <pivotField showAll="0"/>
    <pivotField showAll="0"/>
    <pivotField dataField="1" showAll="0"/>
    <pivotField axis="axisCol" showAll="0">
      <items count="3">
        <item x="0"/>
        <item x="1"/>
        <item t="default"/>
      </items>
    </pivotField>
    <pivotField axis="axisPage" multipleItemSelectionAllowed="1" showAll="0">
      <items count="5">
        <item x="0"/>
        <item h="1" x="1"/>
        <item x="3"/>
        <item x="2"/>
        <item t="default"/>
      </items>
    </pivotField>
    <pivotField axis="axisRow" numFmtId="14" showAll="0">
      <items count="7">
        <item m="1" x="5"/>
        <item m="1" x="4"/>
        <item m="1" x="3"/>
        <item x="2"/>
        <item x="1"/>
        <item x="0"/>
        <item t="default"/>
      </items>
    </pivotField>
    <pivotField dragToRow="0" dragToCol="0" dragToPage="0" showAll="0" defaultSubtotal="0"/>
  </pivotFields>
  <rowFields count="1">
    <field x="5"/>
  </rowFields>
  <rowItems count="4">
    <i>
      <x v="3"/>
    </i>
    <i>
      <x v="4"/>
    </i>
    <i>
      <x v="5"/>
    </i>
    <i t="grand">
      <x/>
    </i>
  </rowItems>
  <colFields count="1">
    <field x="3"/>
  </colFields>
  <colItems count="3">
    <i>
      <x/>
    </i>
    <i>
      <x v="1"/>
    </i>
    <i t="grand">
      <x/>
    </i>
  </colItems>
  <pageFields count="1">
    <pageField fld="4" hier="-1"/>
  </pageFields>
  <dataFields count="1">
    <dataField name="Sum of Mark"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2" xr10:uid="{14B73E29-B1AC-4365-807A-CD412E429E1A}" sourceName="Class">
  <pivotTables>
    <pivotTable tabId="8" name="PivotTable1"/>
  </pivotTables>
  <data>
    <tabular pivotCacheId="1031341511">
      <items count="4">
        <i x="0" s="1"/>
        <i x="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1" xr10:uid="{9E7771F1-5086-403C-933B-0913D7B77059}" sourceName="Result">
  <pivotTables>
    <pivotTable tabId="1" name="PivotTable2"/>
  </pivotTables>
  <data>
    <tabular pivotCacheId="81043389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3" xr10:uid="{E931D4D8-58DB-4A9D-85AD-B2FB30246663}" sourceName="Class">
  <pivotTables>
    <pivotTable tabId="1" name="PivotTable2"/>
  </pivotTables>
  <data>
    <tabular pivotCacheId="810433890">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BE00C7DC-A326-458A-AC70-AC1ED174ED20}" sourceName="Result">
  <pivotTables>
    <pivotTable tabId="4" name="PivotTable1"/>
  </pivotTables>
  <data>
    <tabular pivotCacheId="81043389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09A13C67-93BD-4045-A8A3-E4EEA31D9230}" sourceName="Class">
  <pivotTables>
    <pivotTable tabId="4" name="PivotTable1"/>
  </pivotTables>
  <data>
    <tabular pivotCacheId="810433890">
      <items count="4">
        <i x="2"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9E40F89A-0D5B-4EAA-8E6D-7B31205E2BD2}" sourceName="Class">
  <pivotTables>
    <pivotTable tabId="6" name="PivotTable2"/>
  </pivotTables>
  <data>
    <tabular pivotCacheId="1850007722">
      <items count="4">
        <i x="0" s="1"/>
        <i x="1" s="1"/>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xr10:uid="{A4392AEB-7AE7-4773-B21B-EC7DFD6404A4}" cache="Slicer_Result" caption="Result" columnCount="2" style="SlicerStyleDark6" rowHeight="241300"/>
  <slicer name="Class" xr10:uid="{658B6AB5-2EF1-4ABE-A246-243F8230E0A0}" cache="Slicer_Class" caption="Class" columnCount="4"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1" xr10:uid="{DF6CB980-A13B-4876-AD36-D8609A1F0805}" cache="Slicer_Result1" caption="Result" columnCount="2" rowHeight="241300"/>
  <slicer name="Class 3" xr10:uid="{2ECA71A7-CF21-4A4B-8C92-CAA4108BB0E6}" cache="Slicer_Class3" caption="Class" columnCoun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2BC91D28-3760-4408-BA79-4B743B23FAEF}" cache="Slicer_Class1" caption="Class" columnCount="2"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2" xr10:uid="{6E08655C-7DDA-4508-BE8F-58CD183BBF09}" cache="Slicer_Class2" caption="Class"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62BC5-2763-4782-A858-6C2DA4E075C1}">
  <dimension ref="A4:M31"/>
  <sheetViews>
    <sheetView workbookViewId="0">
      <selection activeCell="R2" sqref="R2"/>
    </sheetView>
  </sheetViews>
  <sheetFormatPr defaultRowHeight="14.4" x14ac:dyDescent="0.3"/>
  <cols>
    <col min="1" max="1" width="12.5546875" bestFit="1" customWidth="1"/>
    <col min="2" max="2" width="15.5546875" bestFit="1" customWidth="1"/>
    <col min="3" max="4" width="10.33203125" bestFit="1" customWidth="1"/>
    <col min="5" max="5" width="10.77734375" bestFit="1" customWidth="1"/>
    <col min="6" max="6" width="9.33203125" bestFit="1" customWidth="1"/>
    <col min="7" max="7" width="9.5546875" bestFit="1" customWidth="1"/>
  </cols>
  <sheetData>
    <row r="4" spans="1:13" x14ac:dyDescent="0.3">
      <c r="A4" s="4" t="s">
        <v>24</v>
      </c>
      <c r="B4" s="34" t="s">
        <v>26</v>
      </c>
    </row>
    <row r="6" spans="1:13" x14ac:dyDescent="0.3">
      <c r="A6" s="4" t="s">
        <v>15</v>
      </c>
      <c r="B6" s="4" t="s">
        <v>18</v>
      </c>
    </row>
    <row r="7" spans="1:13" x14ac:dyDescent="0.3">
      <c r="A7" s="4" t="s">
        <v>16</v>
      </c>
      <c r="B7" s="1">
        <v>45925</v>
      </c>
      <c r="C7" s="1">
        <v>45924</v>
      </c>
      <c r="D7" s="1">
        <v>45923</v>
      </c>
      <c r="E7" s="1" t="s">
        <v>17</v>
      </c>
      <c r="H7" t="s">
        <v>25</v>
      </c>
    </row>
    <row r="8" spans="1:13" x14ac:dyDescent="0.3">
      <c r="A8" s="13" t="s">
        <v>13</v>
      </c>
      <c r="B8" s="35">
        <v>59</v>
      </c>
      <c r="C8" s="35">
        <v>98</v>
      </c>
      <c r="D8" s="35">
        <v>98</v>
      </c>
      <c r="E8" s="35">
        <v>255</v>
      </c>
      <c r="M8" t="s">
        <v>22</v>
      </c>
    </row>
    <row r="9" spans="1:13" x14ac:dyDescent="0.3">
      <c r="A9" s="13" t="s">
        <v>14</v>
      </c>
      <c r="B9" s="35">
        <v>72</v>
      </c>
      <c r="C9" s="35">
        <v>71</v>
      </c>
      <c r="D9" s="35">
        <v>86</v>
      </c>
      <c r="E9" s="35">
        <v>229</v>
      </c>
      <c r="M9" t="s">
        <v>23</v>
      </c>
    </row>
    <row r="10" spans="1:13" x14ac:dyDescent="0.3">
      <c r="A10" s="13" t="s">
        <v>8</v>
      </c>
      <c r="B10" s="35">
        <v>82</v>
      </c>
      <c r="C10" s="35">
        <v>51</v>
      </c>
      <c r="D10" s="35">
        <v>85</v>
      </c>
      <c r="E10" s="35">
        <v>218</v>
      </c>
      <c r="M10" t="s">
        <v>21</v>
      </c>
    </row>
    <row r="11" spans="1:13" x14ac:dyDescent="0.3">
      <c r="A11" s="13" t="s">
        <v>6</v>
      </c>
      <c r="B11" s="35">
        <v>57</v>
      </c>
      <c r="C11" s="35">
        <v>69</v>
      </c>
      <c r="D11" s="35">
        <v>49</v>
      </c>
      <c r="E11" s="35">
        <v>175</v>
      </c>
    </row>
    <row r="12" spans="1:13" x14ac:dyDescent="0.3">
      <c r="A12" s="13" t="s">
        <v>12</v>
      </c>
      <c r="B12" s="35">
        <v>55</v>
      </c>
      <c r="C12" s="35">
        <v>85</v>
      </c>
      <c r="D12" s="35">
        <v>30</v>
      </c>
      <c r="E12" s="35">
        <v>170</v>
      </c>
    </row>
    <row r="13" spans="1:13" x14ac:dyDescent="0.3">
      <c r="A13" s="13" t="s">
        <v>7</v>
      </c>
      <c r="B13" s="35">
        <v>51</v>
      </c>
      <c r="C13" s="35">
        <v>74</v>
      </c>
      <c r="D13" s="35">
        <v>32</v>
      </c>
      <c r="E13" s="35">
        <v>157</v>
      </c>
    </row>
    <row r="14" spans="1:13" x14ac:dyDescent="0.3">
      <c r="A14" s="13" t="s">
        <v>11</v>
      </c>
      <c r="B14" s="35">
        <v>54</v>
      </c>
      <c r="C14" s="35">
        <v>74</v>
      </c>
      <c r="D14" s="35">
        <v>22</v>
      </c>
      <c r="E14" s="35">
        <v>150</v>
      </c>
    </row>
    <row r="15" spans="1:13" x14ac:dyDescent="0.3">
      <c r="A15" s="13" t="s">
        <v>10</v>
      </c>
      <c r="B15" s="35">
        <v>87</v>
      </c>
      <c r="C15" s="35">
        <v>15</v>
      </c>
      <c r="D15" s="35">
        <v>23</v>
      </c>
      <c r="E15" s="35">
        <v>125</v>
      </c>
    </row>
    <row r="16" spans="1:13" x14ac:dyDescent="0.3">
      <c r="A16" s="13" t="s">
        <v>5</v>
      </c>
      <c r="B16" s="35">
        <v>7</v>
      </c>
      <c r="C16" s="35">
        <v>12</v>
      </c>
      <c r="D16" s="35">
        <v>69</v>
      </c>
      <c r="E16" s="35">
        <v>88</v>
      </c>
    </row>
    <row r="17" spans="1:5" x14ac:dyDescent="0.3">
      <c r="A17" s="13" t="s">
        <v>9</v>
      </c>
      <c r="B17" s="35">
        <v>33</v>
      </c>
      <c r="C17" s="35">
        <v>22</v>
      </c>
      <c r="D17" s="35">
        <v>8</v>
      </c>
      <c r="E17" s="35">
        <v>63</v>
      </c>
    </row>
    <row r="18" spans="1:5" x14ac:dyDescent="0.3">
      <c r="A18" s="13" t="s">
        <v>17</v>
      </c>
      <c r="B18" s="35">
        <v>557</v>
      </c>
      <c r="C18" s="35">
        <v>571</v>
      </c>
      <c r="D18" s="35">
        <v>502</v>
      </c>
      <c r="E18" s="35">
        <v>1630</v>
      </c>
    </row>
    <row r="22" spans="1:5" x14ac:dyDescent="0.3">
      <c r="A22" s="13" t="s">
        <v>14</v>
      </c>
      <c r="B22">
        <v>229</v>
      </c>
    </row>
    <row r="23" spans="1:5" x14ac:dyDescent="0.3">
      <c r="A23" s="13" t="s">
        <v>8</v>
      </c>
      <c r="B23">
        <v>218</v>
      </c>
    </row>
    <row r="24" spans="1:5" x14ac:dyDescent="0.3">
      <c r="A24" s="13" t="s">
        <v>6</v>
      </c>
      <c r="B24">
        <v>175</v>
      </c>
    </row>
    <row r="25" spans="1:5" x14ac:dyDescent="0.3">
      <c r="A25" s="13" t="s">
        <v>12</v>
      </c>
      <c r="B25">
        <v>170</v>
      </c>
    </row>
    <row r="26" spans="1:5" x14ac:dyDescent="0.3">
      <c r="A26" s="13" t="s">
        <v>7</v>
      </c>
      <c r="B26">
        <v>157</v>
      </c>
    </row>
    <row r="27" spans="1:5" x14ac:dyDescent="0.3">
      <c r="A27" s="13" t="s">
        <v>11</v>
      </c>
      <c r="B27">
        <v>150</v>
      </c>
    </row>
    <row r="28" spans="1:5" x14ac:dyDescent="0.3">
      <c r="A28" s="13" t="s">
        <v>10</v>
      </c>
      <c r="B28">
        <v>125</v>
      </c>
    </row>
    <row r="29" spans="1:5" x14ac:dyDescent="0.3">
      <c r="A29" s="13" t="s">
        <v>5</v>
      </c>
      <c r="B29">
        <v>88</v>
      </c>
    </row>
    <row r="30" spans="1:5" x14ac:dyDescent="0.3">
      <c r="A30" s="13" t="s">
        <v>9</v>
      </c>
      <c r="B30">
        <v>63</v>
      </c>
    </row>
    <row r="31" spans="1:5" x14ac:dyDescent="0.3">
      <c r="A31" s="14" t="s">
        <v>17</v>
      </c>
      <c r="B31" s="7">
        <f>SUM(B21:B30)</f>
        <v>1375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B9E6-2088-44C5-BAAC-0E4C015BB4D2}">
  <dimension ref="B4:C15"/>
  <sheetViews>
    <sheetView workbookViewId="0">
      <selection activeCell="M22" sqref="M22"/>
    </sheetView>
  </sheetViews>
  <sheetFormatPr defaultRowHeight="14.4" x14ac:dyDescent="0.3"/>
  <cols>
    <col min="1" max="1" width="12.33203125" bestFit="1" customWidth="1"/>
    <col min="2" max="2" width="12.5546875" bestFit="1" customWidth="1"/>
    <col min="3" max="3" width="11.88671875" bestFit="1" customWidth="1"/>
  </cols>
  <sheetData>
    <row r="4" spans="2:3" x14ac:dyDescent="0.3">
      <c r="B4" s="4" t="s">
        <v>16</v>
      </c>
      <c r="C4" t="s">
        <v>15</v>
      </c>
    </row>
    <row r="5" spans="2:3" x14ac:dyDescent="0.3">
      <c r="B5" s="13" t="s">
        <v>13</v>
      </c>
      <c r="C5" s="35">
        <v>255</v>
      </c>
    </row>
    <row r="6" spans="2:3" x14ac:dyDescent="0.3">
      <c r="B6" s="13" t="s">
        <v>14</v>
      </c>
      <c r="C6" s="35">
        <v>229</v>
      </c>
    </row>
    <row r="7" spans="2:3" x14ac:dyDescent="0.3">
      <c r="B7" s="13" t="s">
        <v>8</v>
      </c>
      <c r="C7" s="35">
        <v>218</v>
      </c>
    </row>
    <row r="8" spans="2:3" x14ac:dyDescent="0.3">
      <c r="B8" s="13" t="s">
        <v>6</v>
      </c>
      <c r="C8" s="35">
        <v>175</v>
      </c>
    </row>
    <row r="9" spans="2:3" x14ac:dyDescent="0.3">
      <c r="B9" s="13" t="s">
        <v>12</v>
      </c>
      <c r="C9" s="35">
        <v>170</v>
      </c>
    </row>
    <row r="10" spans="2:3" x14ac:dyDescent="0.3">
      <c r="B10" s="13" t="s">
        <v>7</v>
      </c>
      <c r="C10" s="35">
        <v>157</v>
      </c>
    </row>
    <row r="11" spans="2:3" x14ac:dyDescent="0.3">
      <c r="B11" s="13" t="s">
        <v>11</v>
      </c>
      <c r="C11" s="35">
        <v>150</v>
      </c>
    </row>
    <row r="12" spans="2:3" x14ac:dyDescent="0.3">
      <c r="B12" s="13" t="s">
        <v>10</v>
      </c>
      <c r="C12" s="35">
        <v>125</v>
      </c>
    </row>
    <row r="13" spans="2:3" x14ac:dyDescent="0.3">
      <c r="B13" s="13" t="s">
        <v>5</v>
      </c>
      <c r="C13" s="35">
        <v>88</v>
      </c>
    </row>
    <row r="14" spans="2:3" x14ac:dyDescent="0.3">
      <c r="B14" s="13" t="s">
        <v>9</v>
      </c>
      <c r="C14" s="35">
        <v>63</v>
      </c>
    </row>
    <row r="15" spans="2:3" x14ac:dyDescent="0.3">
      <c r="B15" s="13" t="s">
        <v>17</v>
      </c>
      <c r="C15" s="35">
        <v>1630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87DD3-F7F7-4C73-B001-FB2DC62E1444}">
  <dimension ref="A1:AE31"/>
  <sheetViews>
    <sheetView workbookViewId="0">
      <selection activeCell="H6" sqref="H6"/>
    </sheetView>
  </sheetViews>
  <sheetFormatPr defaultRowHeight="14.4" outlineLevelCol="1" x14ac:dyDescent="0.3"/>
  <cols>
    <col min="6" max="6" width="10.109375" bestFit="1" customWidth="1"/>
    <col min="8" max="8" width="12.5546875" bestFit="1" customWidth="1" outlineLevel="1"/>
    <col min="9" max="9" width="15.5546875" bestFit="1" customWidth="1" outlineLevel="1"/>
    <col min="10" max="10" width="7" bestFit="1" customWidth="1" outlineLevel="1"/>
    <col min="11" max="18" width="6" bestFit="1" customWidth="1" outlineLevel="1"/>
    <col min="19" max="19" width="10.77734375" bestFit="1" customWidth="1"/>
    <col min="22" max="22" width="12.5546875" bestFit="1" customWidth="1"/>
    <col min="23" max="23" width="15.5546875" bestFit="1" customWidth="1"/>
    <col min="24" max="24" width="4" bestFit="1" customWidth="1"/>
    <col min="25" max="25" width="10.77734375" bestFit="1" customWidth="1"/>
    <col min="27" max="27" width="12.5546875" bestFit="1" customWidth="1"/>
    <col min="28" max="28" width="15.5546875" bestFit="1" customWidth="1"/>
    <col min="29" max="30" width="10.33203125" bestFit="1" customWidth="1"/>
    <col min="31" max="31" width="10.77734375" bestFit="1" customWidth="1"/>
    <col min="32" max="32" width="9.33203125" bestFit="1" customWidth="1"/>
    <col min="33" max="33" width="9.5546875" bestFit="1" customWidth="1"/>
    <col min="34" max="34" width="10.77734375" bestFit="1" customWidth="1"/>
  </cols>
  <sheetData>
    <row r="1" spans="1:31" x14ac:dyDescent="0.3">
      <c r="A1" s="30" t="s">
        <v>0</v>
      </c>
      <c r="B1" s="30" t="s">
        <v>1</v>
      </c>
      <c r="C1" s="30" t="s">
        <v>2</v>
      </c>
      <c r="D1" s="30" t="s">
        <v>3</v>
      </c>
      <c r="E1" s="30" t="s">
        <v>24</v>
      </c>
      <c r="F1" s="30" t="s">
        <v>4</v>
      </c>
    </row>
    <row r="2" spans="1:31" x14ac:dyDescent="0.3">
      <c r="A2" s="33">
        <v>1001</v>
      </c>
      <c r="B2" s="28" t="s">
        <v>5</v>
      </c>
      <c r="C2" s="29">
        <v>7</v>
      </c>
      <c r="D2" s="28" t="str">
        <f>IF(C2&lt;35,"Fail","Pass")</f>
        <v>Fail</v>
      </c>
      <c r="E2" s="28" t="str">
        <f>IF(C2&lt;35,"Fail",IF(C2&lt;60,"Pass",IF(C2&lt;75,"First class","Disctinction")))</f>
        <v>Fail</v>
      </c>
      <c r="F2" s="31">
        <f ca="1">TODAY()</f>
        <v>45925</v>
      </c>
      <c r="H2" s="4" t="s">
        <v>24</v>
      </c>
      <c r="I2" s="12" t="s">
        <v>26</v>
      </c>
    </row>
    <row r="3" spans="1:31" x14ac:dyDescent="0.3">
      <c r="A3" s="33">
        <v>1002</v>
      </c>
      <c r="B3" s="28" t="s">
        <v>6</v>
      </c>
      <c r="C3" s="28">
        <v>57</v>
      </c>
      <c r="D3" s="28" t="str">
        <f t="shared" ref="D3:D31" si="0">IF(C3&lt;35,"Fail","Pass")</f>
        <v>Pass</v>
      </c>
      <c r="E3" s="28" t="str">
        <f t="shared" ref="E3:E31" si="1">IF(C3&lt;35,"Fail",IF(C3&lt;60,"Pass",IF(C3&lt;75,"First class","Disctinction")))</f>
        <v>Pass</v>
      </c>
      <c r="F3" s="31">
        <f t="shared" ref="F3:F11" ca="1" si="2">TODAY()</f>
        <v>45925</v>
      </c>
    </row>
    <row r="4" spans="1:31" x14ac:dyDescent="0.3">
      <c r="A4" s="33">
        <v>1003</v>
      </c>
      <c r="B4" s="28" t="s">
        <v>7</v>
      </c>
      <c r="C4" s="28">
        <v>51</v>
      </c>
      <c r="D4" s="28" t="str">
        <f t="shared" si="0"/>
        <v>Pass</v>
      </c>
      <c r="E4" s="28" t="str">
        <f t="shared" si="1"/>
        <v>Pass</v>
      </c>
      <c r="F4" s="31">
        <f t="shared" ca="1" si="2"/>
        <v>45925</v>
      </c>
      <c r="H4" s="4" t="s">
        <v>15</v>
      </c>
      <c r="I4" s="4" t="s">
        <v>18</v>
      </c>
      <c r="V4" s="4" t="s">
        <v>15</v>
      </c>
      <c r="W4" s="4" t="s">
        <v>18</v>
      </c>
      <c r="AA4" s="4" t="s">
        <v>15</v>
      </c>
      <c r="AB4" s="4" t="s">
        <v>18</v>
      </c>
    </row>
    <row r="5" spans="1:31" x14ac:dyDescent="0.3">
      <c r="A5" s="33">
        <v>1004</v>
      </c>
      <c r="B5" s="28" t="s">
        <v>8</v>
      </c>
      <c r="C5" s="28">
        <v>82</v>
      </c>
      <c r="D5" s="28" t="str">
        <f t="shared" si="0"/>
        <v>Pass</v>
      </c>
      <c r="E5" s="28" t="str">
        <f t="shared" si="1"/>
        <v>Disctinction</v>
      </c>
      <c r="F5" s="31">
        <f t="shared" ca="1" si="2"/>
        <v>45925</v>
      </c>
      <c r="H5" s="4" t="s">
        <v>16</v>
      </c>
      <c r="I5" t="s">
        <v>5</v>
      </c>
      <c r="J5" t="s">
        <v>14</v>
      </c>
      <c r="K5" t="s">
        <v>6</v>
      </c>
      <c r="L5" t="s">
        <v>7</v>
      </c>
      <c r="M5" t="s">
        <v>8</v>
      </c>
      <c r="N5" t="s">
        <v>9</v>
      </c>
      <c r="O5" t="s">
        <v>10</v>
      </c>
      <c r="P5" t="s">
        <v>11</v>
      </c>
      <c r="Q5" t="s">
        <v>12</v>
      </c>
      <c r="R5" t="s">
        <v>13</v>
      </c>
      <c r="S5" t="s">
        <v>17</v>
      </c>
      <c r="V5" s="4" t="s">
        <v>16</v>
      </c>
      <c r="W5" t="s">
        <v>19</v>
      </c>
      <c r="X5" t="s">
        <v>20</v>
      </c>
      <c r="Y5" t="s">
        <v>17</v>
      </c>
      <c r="AA5" s="4" t="s">
        <v>16</v>
      </c>
      <c r="AB5" s="1">
        <v>45925</v>
      </c>
      <c r="AC5" s="1">
        <v>45924</v>
      </c>
      <c r="AD5" s="1">
        <v>45923</v>
      </c>
      <c r="AE5" s="1" t="s">
        <v>17</v>
      </c>
    </row>
    <row r="6" spans="1:31" x14ac:dyDescent="0.3">
      <c r="A6" s="33">
        <v>1005</v>
      </c>
      <c r="B6" s="28" t="s">
        <v>9</v>
      </c>
      <c r="C6" s="28">
        <v>33</v>
      </c>
      <c r="D6" s="28" t="str">
        <f t="shared" si="0"/>
        <v>Fail</v>
      </c>
      <c r="E6" s="28" t="str">
        <f t="shared" si="1"/>
        <v>Fail</v>
      </c>
      <c r="F6" s="31">
        <f t="shared" ca="1" si="2"/>
        <v>45925</v>
      </c>
      <c r="H6" s="5">
        <v>45925</v>
      </c>
      <c r="I6" s="38">
        <v>7</v>
      </c>
      <c r="J6" s="35">
        <v>72</v>
      </c>
      <c r="K6" s="35">
        <v>57</v>
      </c>
      <c r="L6" s="35">
        <v>51</v>
      </c>
      <c r="M6" s="35">
        <v>82</v>
      </c>
      <c r="N6" s="35">
        <v>33</v>
      </c>
      <c r="O6" s="35">
        <v>87</v>
      </c>
      <c r="P6" s="35">
        <v>54</v>
      </c>
      <c r="Q6" s="35">
        <v>55</v>
      </c>
      <c r="R6" s="35">
        <v>59</v>
      </c>
      <c r="S6" s="37">
        <v>557</v>
      </c>
      <c r="V6" s="5">
        <v>45925</v>
      </c>
      <c r="W6" s="35">
        <v>517</v>
      </c>
      <c r="X6" s="35">
        <v>40</v>
      </c>
      <c r="Y6" s="37">
        <v>557</v>
      </c>
      <c r="AA6" s="13" t="s">
        <v>5</v>
      </c>
      <c r="AB6" s="38">
        <v>7</v>
      </c>
      <c r="AC6" s="38">
        <v>12</v>
      </c>
      <c r="AD6" s="38">
        <v>69</v>
      </c>
      <c r="AE6" s="35">
        <v>88</v>
      </c>
    </row>
    <row r="7" spans="1:31" x14ac:dyDescent="0.3">
      <c r="A7" s="33">
        <v>1006</v>
      </c>
      <c r="B7" s="28" t="s">
        <v>10</v>
      </c>
      <c r="C7" s="28">
        <v>87</v>
      </c>
      <c r="D7" s="28" t="str">
        <f t="shared" si="0"/>
        <v>Pass</v>
      </c>
      <c r="E7" s="28" t="str">
        <f t="shared" si="1"/>
        <v>Disctinction</v>
      </c>
      <c r="F7" s="31">
        <f t="shared" ca="1" si="2"/>
        <v>45925</v>
      </c>
      <c r="H7" s="5">
        <v>45924</v>
      </c>
      <c r="I7" s="38">
        <v>12</v>
      </c>
      <c r="J7" s="35">
        <v>71</v>
      </c>
      <c r="K7" s="35">
        <v>69</v>
      </c>
      <c r="L7" s="35">
        <v>74</v>
      </c>
      <c r="M7" s="35">
        <v>51</v>
      </c>
      <c r="N7" s="35">
        <v>22</v>
      </c>
      <c r="O7" s="35">
        <v>15</v>
      </c>
      <c r="P7" s="35">
        <v>74</v>
      </c>
      <c r="Q7" s="35">
        <v>85</v>
      </c>
      <c r="R7" s="35">
        <v>98</v>
      </c>
      <c r="S7" s="37">
        <v>571</v>
      </c>
      <c r="V7" s="5">
        <v>45924</v>
      </c>
      <c r="W7" s="35">
        <v>522</v>
      </c>
      <c r="X7" s="35">
        <v>49</v>
      </c>
      <c r="Y7" s="37">
        <v>571</v>
      </c>
      <c r="AA7" s="13" t="s">
        <v>14</v>
      </c>
      <c r="AB7" s="35">
        <v>72</v>
      </c>
      <c r="AC7" s="35">
        <v>71</v>
      </c>
      <c r="AD7" s="35">
        <v>86</v>
      </c>
      <c r="AE7" s="35">
        <v>229</v>
      </c>
    </row>
    <row r="8" spans="1:31" x14ac:dyDescent="0.3">
      <c r="A8" s="33">
        <v>1007</v>
      </c>
      <c r="B8" s="28" t="s">
        <v>11</v>
      </c>
      <c r="C8" s="28">
        <v>54</v>
      </c>
      <c r="D8" s="28" t="str">
        <f t="shared" si="0"/>
        <v>Pass</v>
      </c>
      <c r="E8" s="28" t="str">
        <f t="shared" si="1"/>
        <v>Pass</v>
      </c>
      <c r="F8" s="31">
        <f t="shared" ca="1" si="2"/>
        <v>45925</v>
      </c>
      <c r="H8" s="5">
        <v>45923</v>
      </c>
      <c r="I8" s="38">
        <v>69</v>
      </c>
      <c r="J8" s="35">
        <v>86</v>
      </c>
      <c r="K8" s="35">
        <v>49</v>
      </c>
      <c r="L8" s="35">
        <v>32</v>
      </c>
      <c r="M8" s="35">
        <v>85</v>
      </c>
      <c r="N8" s="35">
        <v>8</v>
      </c>
      <c r="O8" s="35">
        <v>23</v>
      </c>
      <c r="P8" s="35">
        <v>22</v>
      </c>
      <c r="Q8" s="35">
        <v>30</v>
      </c>
      <c r="R8" s="35">
        <v>98</v>
      </c>
      <c r="S8" s="37">
        <v>502</v>
      </c>
      <c r="V8" s="5">
        <v>45923</v>
      </c>
      <c r="W8" s="35">
        <v>387</v>
      </c>
      <c r="X8" s="35">
        <v>115</v>
      </c>
      <c r="Y8" s="37">
        <v>502</v>
      </c>
      <c r="AA8" s="13" t="s">
        <v>6</v>
      </c>
      <c r="AB8" s="35">
        <v>57</v>
      </c>
      <c r="AC8" s="35">
        <v>69</v>
      </c>
      <c r="AD8" s="35">
        <v>49</v>
      </c>
      <c r="AE8" s="35">
        <v>175</v>
      </c>
    </row>
    <row r="9" spans="1:31" x14ac:dyDescent="0.3">
      <c r="A9" s="33">
        <v>1008</v>
      </c>
      <c r="B9" s="28" t="s">
        <v>12</v>
      </c>
      <c r="C9" s="28">
        <v>55</v>
      </c>
      <c r="D9" s="28" t="str">
        <f t="shared" si="0"/>
        <v>Pass</v>
      </c>
      <c r="E9" s="28" t="str">
        <f t="shared" si="1"/>
        <v>Pass</v>
      </c>
      <c r="F9" s="31">
        <f t="shared" ca="1" si="2"/>
        <v>45925</v>
      </c>
      <c r="H9" s="5" t="s">
        <v>17</v>
      </c>
      <c r="I9" s="35">
        <v>88</v>
      </c>
      <c r="J9" s="35">
        <v>229</v>
      </c>
      <c r="K9" s="35">
        <v>175</v>
      </c>
      <c r="L9" s="35">
        <v>157</v>
      </c>
      <c r="M9" s="35">
        <v>218</v>
      </c>
      <c r="N9" s="35">
        <v>63</v>
      </c>
      <c r="O9" s="35">
        <v>125</v>
      </c>
      <c r="P9" s="35">
        <v>150</v>
      </c>
      <c r="Q9" s="35">
        <v>170</v>
      </c>
      <c r="R9" s="35">
        <v>255</v>
      </c>
      <c r="S9" s="36">
        <v>1630</v>
      </c>
      <c r="V9" s="5" t="s">
        <v>17</v>
      </c>
      <c r="W9" s="35">
        <v>1426</v>
      </c>
      <c r="X9" s="35">
        <v>204</v>
      </c>
      <c r="Y9" s="36">
        <v>1630</v>
      </c>
      <c r="AA9" s="13" t="s">
        <v>7</v>
      </c>
      <c r="AB9" s="35">
        <v>51</v>
      </c>
      <c r="AC9" s="35">
        <v>74</v>
      </c>
      <c r="AD9" s="35">
        <v>32</v>
      </c>
      <c r="AE9" s="35">
        <v>157</v>
      </c>
    </row>
    <row r="10" spans="1:31" x14ac:dyDescent="0.3">
      <c r="A10" s="33">
        <v>1009</v>
      </c>
      <c r="B10" s="28" t="s">
        <v>13</v>
      </c>
      <c r="C10" s="28">
        <v>59</v>
      </c>
      <c r="D10" s="28" t="str">
        <f t="shared" si="0"/>
        <v>Pass</v>
      </c>
      <c r="E10" s="28" t="str">
        <f t="shared" si="1"/>
        <v>Pass</v>
      </c>
      <c r="F10" s="31">
        <f t="shared" ca="1" si="2"/>
        <v>45925</v>
      </c>
      <c r="AA10" s="13" t="s">
        <v>8</v>
      </c>
      <c r="AB10" s="35">
        <v>82</v>
      </c>
      <c r="AC10" s="35">
        <v>51</v>
      </c>
      <c r="AD10" s="35">
        <v>85</v>
      </c>
      <c r="AE10" s="35">
        <v>218</v>
      </c>
    </row>
    <row r="11" spans="1:31" x14ac:dyDescent="0.3">
      <c r="A11" s="33">
        <v>1010</v>
      </c>
      <c r="B11" s="28" t="s">
        <v>14</v>
      </c>
      <c r="C11" s="28">
        <v>72</v>
      </c>
      <c r="D11" s="28" t="str">
        <f t="shared" si="0"/>
        <v>Pass</v>
      </c>
      <c r="E11" s="28" t="str">
        <f t="shared" si="1"/>
        <v>First class</v>
      </c>
      <c r="F11" s="31">
        <f t="shared" ca="1" si="2"/>
        <v>45925</v>
      </c>
      <c r="AA11" s="13" t="s">
        <v>9</v>
      </c>
      <c r="AB11" s="35">
        <v>33</v>
      </c>
      <c r="AC11" s="35">
        <v>22</v>
      </c>
      <c r="AD11" s="35">
        <v>8</v>
      </c>
      <c r="AE11" s="35">
        <v>63</v>
      </c>
    </row>
    <row r="12" spans="1:31" x14ac:dyDescent="0.3">
      <c r="A12" s="28">
        <v>1001</v>
      </c>
      <c r="B12" s="28" t="s">
        <v>5</v>
      </c>
      <c r="C12" s="29">
        <v>12</v>
      </c>
      <c r="D12" s="28" t="str">
        <f t="shared" si="0"/>
        <v>Fail</v>
      </c>
      <c r="E12" s="28" t="str">
        <f t="shared" si="1"/>
        <v>Fail</v>
      </c>
      <c r="F12" s="32">
        <f ca="1">F2-1</f>
        <v>45924</v>
      </c>
      <c r="H12" s="3" t="s">
        <v>16</v>
      </c>
      <c r="I12" s="3" t="s">
        <v>5</v>
      </c>
      <c r="J12" s="3" t="s">
        <v>14</v>
      </c>
      <c r="K12" s="3" t="s">
        <v>6</v>
      </c>
      <c r="L12" s="3" t="s">
        <v>7</v>
      </c>
      <c r="M12" s="3" t="s">
        <v>8</v>
      </c>
      <c r="N12" s="3" t="s">
        <v>9</v>
      </c>
      <c r="O12" s="3" t="s">
        <v>10</v>
      </c>
      <c r="P12" s="3" t="s">
        <v>11</v>
      </c>
      <c r="Q12" s="3" t="s">
        <v>12</v>
      </c>
      <c r="R12" s="3" t="s">
        <v>13</v>
      </c>
      <c r="S12" s="3" t="s">
        <v>17</v>
      </c>
      <c r="AA12" s="13" t="s">
        <v>10</v>
      </c>
      <c r="AB12" s="35">
        <v>87</v>
      </c>
      <c r="AC12" s="35">
        <v>15</v>
      </c>
      <c r="AD12" s="35">
        <v>23</v>
      </c>
      <c r="AE12" s="35">
        <v>125</v>
      </c>
    </row>
    <row r="13" spans="1:31" x14ac:dyDescent="0.3">
      <c r="A13" s="28">
        <v>1002</v>
      </c>
      <c r="B13" s="28" t="s">
        <v>6</v>
      </c>
      <c r="C13" s="28">
        <v>69</v>
      </c>
      <c r="D13" s="28" t="str">
        <f t="shared" si="0"/>
        <v>Pass</v>
      </c>
      <c r="E13" s="28" t="str">
        <f t="shared" si="1"/>
        <v>First class</v>
      </c>
      <c r="F13" s="32">
        <f t="shared" ref="F13:F31" ca="1" si="3">F3-1</f>
        <v>45924</v>
      </c>
      <c r="H13" s="5">
        <f ca="1">TODAY()</f>
        <v>45925</v>
      </c>
      <c r="I13" s="12">
        <f ca="1">SUMIFS($C:$C,$B:$B,I$12,$F:$F,$H13)</f>
        <v>7</v>
      </c>
      <c r="J13" s="12">
        <f t="shared" ref="J13:R13" ca="1" si="4">SUMIFS($C:$C,$B:$B,J$12,$F:$F,$H13)</f>
        <v>72</v>
      </c>
      <c r="K13" s="12">
        <f t="shared" ca="1" si="4"/>
        <v>57</v>
      </c>
      <c r="L13" s="12">
        <f t="shared" ca="1" si="4"/>
        <v>51</v>
      </c>
      <c r="M13" s="12">
        <f t="shared" ca="1" si="4"/>
        <v>82</v>
      </c>
      <c r="N13" s="12">
        <f t="shared" ca="1" si="4"/>
        <v>33</v>
      </c>
      <c r="O13" s="12">
        <f t="shared" ca="1" si="4"/>
        <v>87</v>
      </c>
      <c r="P13" s="12">
        <f t="shared" ca="1" si="4"/>
        <v>54</v>
      </c>
      <c r="Q13" s="12">
        <f t="shared" ca="1" si="4"/>
        <v>55</v>
      </c>
      <c r="R13" s="12">
        <f t="shared" ca="1" si="4"/>
        <v>59</v>
      </c>
      <c r="S13" s="9">
        <f ca="1">SUMIF($F:$F,$H13,$C:$C)</f>
        <v>557</v>
      </c>
      <c r="T13" s="9">
        <f ca="1">SUMIF($F:$F,$H13,$C:$C)</f>
        <v>557</v>
      </c>
      <c r="V13" s="5">
        <v>45264</v>
      </c>
      <c r="Y13" s="9"/>
      <c r="AA13" s="13" t="s">
        <v>11</v>
      </c>
      <c r="AB13" s="35">
        <v>54</v>
      </c>
      <c r="AC13" s="35">
        <v>74</v>
      </c>
      <c r="AD13" s="35">
        <v>22</v>
      </c>
      <c r="AE13" s="35">
        <v>150</v>
      </c>
    </row>
    <row r="14" spans="1:31" x14ac:dyDescent="0.3">
      <c r="A14" s="28">
        <v>1003</v>
      </c>
      <c r="B14" s="28" t="s">
        <v>7</v>
      </c>
      <c r="C14" s="28">
        <v>74</v>
      </c>
      <c r="D14" s="28" t="str">
        <f t="shared" si="0"/>
        <v>Pass</v>
      </c>
      <c r="E14" s="28" t="str">
        <f t="shared" si="1"/>
        <v>First class</v>
      </c>
      <c r="F14" s="32">
        <f t="shared" ca="1" si="3"/>
        <v>45924</v>
      </c>
      <c r="H14" s="5">
        <f ca="1">H13-1</f>
        <v>45924</v>
      </c>
      <c r="I14" s="12">
        <f t="shared" ref="I14:R15" ca="1" si="5">SUMIFS($C:$C,$B:$B,I$12,$F:$F,$H14)</f>
        <v>12</v>
      </c>
      <c r="J14" s="12">
        <f t="shared" ca="1" si="5"/>
        <v>71</v>
      </c>
      <c r="K14" s="12">
        <f t="shared" ca="1" si="5"/>
        <v>69</v>
      </c>
      <c r="L14" s="12">
        <f t="shared" ca="1" si="5"/>
        <v>74</v>
      </c>
      <c r="M14" s="12">
        <f t="shared" ca="1" si="5"/>
        <v>51</v>
      </c>
      <c r="N14" s="12">
        <f t="shared" ca="1" si="5"/>
        <v>22</v>
      </c>
      <c r="O14" s="12">
        <f t="shared" ca="1" si="5"/>
        <v>15</v>
      </c>
      <c r="P14" s="12">
        <f t="shared" ca="1" si="5"/>
        <v>74</v>
      </c>
      <c r="Q14" s="12">
        <f t="shared" ca="1" si="5"/>
        <v>85</v>
      </c>
      <c r="R14" s="12">
        <f t="shared" ca="1" si="5"/>
        <v>98</v>
      </c>
      <c r="S14" s="9">
        <f t="shared" ref="S14:S15" ca="1" si="6">SUMIF($F:$F,$H14,$C:$C)</f>
        <v>571</v>
      </c>
      <c r="V14" s="5">
        <v>45265</v>
      </c>
      <c r="Y14" s="9"/>
      <c r="AA14" s="13" t="s">
        <v>12</v>
      </c>
      <c r="AB14" s="35">
        <v>55</v>
      </c>
      <c r="AC14" s="35">
        <v>85</v>
      </c>
      <c r="AD14" s="35">
        <v>30</v>
      </c>
      <c r="AE14" s="35">
        <v>170</v>
      </c>
    </row>
    <row r="15" spans="1:31" x14ac:dyDescent="0.3">
      <c r="A15" s="28">
        <v>1004</v>
      </c>
      <c r="B15" s="28" t="s">
        <v>8</v>
      </c>
      <c r="C15" s="28">
        <v>51</v>
      </c>
      <c r="D15" s="28" t="str">
        <f t="shared" si="0"/>
        <v>Pass</v>
      </c>
      <c r="E15" s="28" t="str">
        <f t="shared" si="1"/>
        <v>Pass</v>
      </c>
      <c r="F15" s="32">
        <f t="shared" ca="1" si="3"/>
        <v>45924</v>
      </c>
      <c r="H15" s="5">
        <f ca="1">H14-1</f>
        <v>45923</v>
      </c>
      <c r="I15" s="12">
        <f t="shared" ca="1" si="5"/>
        <v>69</v>
      </c>
      <c r="J15" s="12">
        <f t="shared" ca="1" si="5"/>
        <v>86</v>
      </c>
      <c r="K15" s="12">
        <f t="shared" ca="1" si="5"/>
        <v>49</v>
      </c>
      <c r="L15" s="12">
        <f t="shared" ca="1" si="5"/>
        <v>32</v>
      </c>
      <c r="M15" s="12">
        <f t="shared" ca="1" si="5"/>
        <v>85</v>
      </c>
      <c r="N15" s="12">
        <f t="shared" ca="1" si="5"/>
        <v>8</v>
      </c>
      <c r="O15" s="12">
        <f t="shared" ca="1" si="5"/>
        <v>23</v>
      </c>
      <c r="P15" s="12">
        <f t="shared" ca="1" si="5"/>
        <v>22</v>
      </c>
      <c r="Q15" s="12">
        <f t="shared" ca="1" si="5"/>
        <v>30</v>
      </c>
      <c r="R15" s="12">
        <f t="shared" ca="1" si="5"/>
        <v>98</v>
      </c>
      <c r="S15" s="9">
        <f t="shared" ca="1" si="6"/>
        <v>502</v>
      </c>
      <c r="V15" s="5">
        <v>45266</v>
      </c>
      <c r="Y15" s="9"/>
      <c r="AA15" s="13" t="s">
        <v>13</v>
      </c>
      <c r="AB15" s="35">
        <v>59</v>
      </c>
      <c r="AC15" s="35">
        <v>98</v>
      </c>
      <c r="AD15" s="35">
        <v>98</v>
      </c>
      <c r="AE15" s="35">
        <v>255</v>
      </c>
    </row>
    <row r="16" spans="1:31" x14ac:dyDescent="0.3">
      <c r="A16" s="28">
        <v>1005</v>
      </c>
      <c r="B16" s="28" t="s">
        <v>9</v>
      </c>
      <c r="C16" s="28">
        <v>22</v>
      </c>
      <c r="D16" s="28" t="str">
        <f t="shared" si="0"/>
        <v>Fail</v>
      </c>
      <c r="E16" s="28" t="str">
        <f t="shared" si="1"/>
        <v>Fail</v>
      </c>
      <c r="F16" s="32">
        <f t="shared" ca="1" si="3"/>
        <v>45924</v>
      </c>
      <c r="H16" s="6" t="s">
        <v>17</v>
      </c>
      <c r="I16" s="10">
        <f>SUMIF($B:$B,I$12,$C:$C)</f>
        <v>88</v>
      </c>
      <c r="J16" s="10">
        <f t="shared" ref="J16:R16" si="7">SUMIF($B:$B,J$12,$C:$C)</f>
        <v>229</v>
      </c>
      <c r="K16" s="10">
        <f t="shared" si="7"/>
        <v>175</v>
      </c>
      <c r="L16" s="10">
        <f t="shared" si="7"/>
        <v>157</v>
      </c>
      <c r="M16" s="10">
        <f t="shared" si="7"/>
        <v>218</v>
      </c>
      <c r="N16" s="10">
        <f t="shared" si="7"/>
        <v>63</v>
      </c>
      <c r="O16" s="10">
        <f t="shared" si="7"/>
        <v>125</v>
      </c>
      <c r="P16" s="10">
        <f t="shared" si="7"/>
        <v>150</v>
      </c>
      <c r="Q16" s="10">
        <f t="shared" si="7"/>
        <v>170</v>
      </c>
      <c r="R16" s="10">
        <f t="shared" si="7"/>
        <v>255</v>
      </c>
      <c r="S16" s="8">
        <f>SUM(C:C)</f>
        <v>1630</v>
      </c>
      <c r="V16" s="6" t="s">
        <v>17</v>
      </c>
      <c r="W16" s="7"/>
      <c r="X16" s="7"/>
      <c r="Y16" s="8"/>
      <c r="AA16" s="13" t="s">
        <v>17</v>
      </c>
      <c r="AB16" s="37">
        <v>557</v>
      </c>
      <c r="AC16" s="37">
        <v>571</v>
      </c>
      <c r="AD16" s="37">
        <v>502</v>
      </c>
      <c r="AE16" s="36">
        <v>1630</v>
      </c>
    </row>
    <row r="17" spans="1:31" x14ac:dyDescent="0.3">
      <c r="A17" s="28">
        <v>1006</v>
      </c>
      <c r="B17" s="28" t="s">
        <v>10</v>
      </c>
      <c r="C17" s="28">
        <v>15</v>
      </c>
      <c r="D17" s="28" t="str">
        <f t="shared" si="0"/>
        <v>Fail</v>
      </c>
      <c r="E17" s="28" t="str">
        <f t="shared" si="1"/>
        <v>Fail</v>
      </c>
      <c r="F17" s="32">
        <f t="shared" ca="1" si="3"/>
        <v>45924</v>
      </c>
    </row>
    <row r="18" spans="1:31" x14ac:dyDescent="0.3">
      <c r="A18" s="28">
        <v>1007</v>
      </c>
      <c r="B18" s="28" t="s">
        <v>11</v>
      </c>
      <c r="C18" s="28">
        <v>74</v>
      </c>
      <c r="D18" s="28" t="str">
        <f t="shared" si="0"/>
        <v>Pass</v>
      </c>
      <c r="E18" s="28" t="str">
        <f t="shared" si="1"/>
        <v>First class</v>
      </c>
      <c r="F18" s="32">
        <f t="shared" ca="1" si="3"/>
        <v>45924</v>
      </c>
    </row>
    <row r="19" spans="1:31" x14ac:dyDescent="0.3">
      <c r="A19" s="28">
        <v>1008</v>
      </c>
      <c r="B19" s="28" t="s">
        <v>12</v>
      </c>
      <c r="C19" s="28">
        <v>85</v>
      </c>
      <c r="D19" s="28" t="str">
        <f t="shared" si="0"/>
        <v>Pass</v>
      </c>
      <c r="E19" s="28" t="str">
        <f t="shared" si="1"/>
        <v>Disctinction</v>
      </c>
      <c r="F19" s="32">
        <f t="shared" ca="1" si="3"/>
        <v>45924</v>
      </c>
    </row>
    <row r="20" spans="1:31" x14ac:dyDescent="0.3">
      <c r="A20" s="28">
        <v>1009</v>
      </c>
      <c r="B20" s="28" t="s">
        <v>13</v>
      </c>
      <c r="C20" s="28">
        <v>98</v>
      </c>
      <c r="D20" s="28" t="str">
        <f t="shared" si="0"/>
        <v>Pass</v>
      </c>
      <c r="E20" s="28" t="str">
        <f t="shared" si="1"/>
        <v>Disctinction</v>
      </c>
      <c r="F20" s="32">
        <f t="shared" ca="1" si="3"/>
        <v>45924</v>
      </c>
      <c r="AA20" s="13" t="s">
        <v>5</v>
      </c>
      <c r="AB20" s="11"/>
      <c r="AC20" s="11"/>
      <c r="AD20" s="11"/>
    </row>
    <row r="21" spans="1:31" x14ac:dyDescent="0.3">
      <c r="A21" s="28">
        <v>1010</v>
      </c>
      <c r="B21" s="28" t="s">
        <v>14</v>
      </c>
      <c r="C21" s="28">
        <v>71</v>
      </c>
      <c r="D21" s="28" t="str">
        <f t="shared" si="0"/>
        <v>Pass</v>
      </c>
      <c r="E21" s="28" t="str">
        <f t="shared" si="1"/>
        <v>First class</v>
      </c>
      <c r="F21" s="32">
        <f t="shared" ca="1" si="3"/>
        <v>45924</v>
      </c>
      <c r="AA21" s="13" t="s">
        <v>14</v>
      </c>
    </row>
    <row r="22" spans="1:31" x14ac:dyDescent="0.3">
      <c r="A22" s="28">
        <v>1001</v>
      </c>
      <c r="B22" s="28" t="s">
        <v>5</v>
      </c>
      <c r="C22" s="29">
        <v>69</v>
      </c>
      <c r="D22" s="28" t="str">
        <f t="shared" si="0"/>
        <v>Pass</v>
      </c>
      <c r="E22" s="28" t="str">
        <f t="shared" si="1"/>
        <v>First class</v>
      </c>
      <c r="F22" s="31">
        <f t="shared" ca="1" si="3"/>
        <v>45923</v>
      </c>
      <c r="AA22" s="13" t="s">
        <v>6</v>
      </c>
    </row>
    <row r="23" spans="1:31" x14ac:dyDescent="0.3">
      <c r="A23" s="28">
        <v>1002</v>
      </c>
      <c r="B23" s="28" t="s">
        <v>6</v>
      </c>
      <c r="C23" s="28">
        <v>49</v>
      </c>
      <c r="D23" s="28" t="str">
        <f t="shared" si="0"/>
        <v>Pass</v>
      </c>
      <c r="E23" s="28" t="str">
        <f t="shared" si="1"/>
        <v>Pass</v>
      </c>
      <c r="F23" s="31">
        <f t="shared" ca="1" si="3"/>
        <v>45923</v>
      </c>
      <c r="AA23" s="13" t="s">
        <v>7</v>
      </c>
    </row>
    <row r="24" spans="1:31" x14ac:dyDescent="0.3">
      <c r="A24" s="28">
        <v>1003</v>
      </c>
      <c r="B24" s="28" t="s">
        <v>7</v>
      </c>
      <c r="C24" s="28">
        <v>32</v>
      </c>
      <c r="D24" s="28" t="str">
        <f t="shared" si="0"/>
        <v>Fail</v>
      </c>
      <c r="E24" s="28" t="str">
        <f t="shared" si="1"/>
        <v>Fail</v>
      </c>
      <c r="F24" s="31">
        <f t="shared" ca="1" si="3"/>
        <v>45923</v>
      </c>
      <c r="AA24" s="13" t="s">
        <v>8</v>
      </c>
    </row>
    <row r="25" spans="1:31" x14ac:dyDescent="0.3">
      <c r="A25" s="28">
        <v>1004</v>
      </c>
      <c r="B25" s="28" t="s">
        <v>8</v>
      </c>
      <c r="C25" s="28">
        <v>85</v>
      </c>
      <c r="D25" s="28" t="str">
        <f t="shared" si="0"/>
        <v>Pass</v>
      </c>
      <c r="E25" s="28" t="str">
        <f t="shared" si="1"/>
        <v>Disctinction</v>
      </c>
      <c r="F25" s="31">
        <f t="shared" ca="1" si="3"/>
        <v>45923</v>
      </c>
      <c r="AA25" s="13" t="s">
        <v>9</v>
      </c>
    </row>
    <row r="26" spans="1:31" x14ac:dyDescent="0.3">
      <c r="A26" s="28">
        <v>1005</v>
      </c>
      <c r="B26" s="28" t="s">
        <v>9</v>
      </c>
      <c r="C26" s="28">
        <v>8</v>
      </c>
      <c r="D26" s="28" t="str">
        <f t="shared" si="0"/>
        <v>Fail</v>
      </c>
      <c r="E26" s="28" t="str">
        <f t="shared" si="1"/>
        <v>Fail</v>
      </c>
      <c r="F26" s="31">
        <f t="shared" ca="1" si="3"/>
        <v>45923</v>
      </c>
      <c r="AA26" s="13" t="s">
        <v>10</v>
      </c>
    </row>
    <row r="27" spans="1:31" x14ac:dyDescent="0.3">
      <c r="A27" s="28">
        <v>1006</v>
      </c>
      <c r="B27" s="28" t="s">
        <v>10</v>
      </c>
      <c r="C27" s="28">
        <v>23</v>
      </c>
      <c r="D27" s="28" t="str">
        <f t="shared" si="0"/>
        <v>Fail</v>
      </c>
      <c r="E27" s="28" t="str">
        <f t="shared" si="1"/>
        <v>Fail</v>
      </c>
      <c r="F27" s="31">
        <f t="shared" ca="1" si="3"/>
        <v>45923</v>
      </c>
      <c r="AA27" s="13" t="s">
        <v>11</v>
      </c>
    </row>
    <row r="28" spans="1:31" x14ac:dyDescent="0.3">
      <c r="A28" s="28">
        <v>1007</v>
      </c>
      <c r="B28" s="28" t="s">
        <v>11</v>
      </c>
      <c r="C28" s="28">
        <v>22</v>
      </c>
      <c r="D28" s="28" t="str">
        <f t="shared" si="0"/>
        <v>Fail</v>
      </c>
      <c r="E28" s="28" t="str">
        <f t="shared" si="1"/>
        <v>Fail</v>
      </c>
      <c r="F28" s="31">
        <f t="shared" ca="1" si="3"/>
        <v>45923</v>
      </c>
      <c r="AA28" s="13" t="s">
        <v>12</v>
      </c>
    </row>
    <row r="29" spans="1:31" x14ac:dyDescent="0.3">
      <c r="A29" s="28">
        <v>1008</v>
      </c>
      <c r="B29" s="28" t="s">
        <v>12</v>
      </c>
      <c r="C29" s="28">
        <v>30</v>
      </c>
      <c r="D29" s="28" t="str">
        <f t="shared" si="0"/>
        <v>Fail</v>
      </c>
      <c r="E29" s="28" t="str">
        <f t="shared" si="1"/>
        <v>Fail</v>
      </c>
      <c r="F29" s="31">
        <f t="shared" ca="1" si="3"/>
        <v>45923</v>
      </c>
      <c r="AA29" s="13" t="s">
        <v>13</v>
      </c>
    </row>
    <row r="30" spans="1:31" x14ac:dyDescent="0.3">
      <c r="A30" s="28">
        <v>1009</v>
      </c>
      <c r="B30" s="28" t="s">
        <v>13</v>
      </c>
      <c r="C30" s="28">
        <v>98</v>
      </c>
      <c r="D30" s="28" t="str">
        <f t="shared" si="0"/>
        <v>Pass</v>
      </c>
      <c r="E30" s="28" t="str">
        <f t="shared" si="1"/>
        <v>Disctinction</v>
      </c>
      <c r="F30" s="31">
        <f t="shared" ca="1" si="3"/>
        <v>45923</v>
      </c>
      <c r="AA30" s="14" t="s">
        <v>17</v>
      </c>
      <c r="AB30" s="15"/>
      <c r="AC30" s="15"/>
      <c r="AD30" s="15"/>
      <c r="AE30" s="8"/>
    </row>
    <row r="31" spans="1:31" x14ac:dyDescent="0.3">
      <c r="A31" s="28">
        <v>1010</v>
      </c>
      <c r="B31" s="28" t="s">
        <v>14</v>
      </c>
      <c r="C31" s="28">
        <v>86</v>
      </c>
      <c r="D31" s="28" t="str">
        <f t="shared" si="0"/>
        <v>Pass</v>
      </c>
      <c r="E31" s="28" t="str">
        <f t="shared" si="1"/>
        <v>Disctinction</v>
      </c>
      <c r="F31" s="31">
        <f t="shared" ca="1" si="3"/>
        <v>45923</v>
      </c>
    </row>
  </sheetData>
  <autoFilter ref="A1:F31" xr:uid="{32787DD3-F7F7-4C73-B001-FB2DC62E1444}"/>
  <phoneticPr fontId="2"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3DCC-774D-4E90-90DD-18F2F8EB84A4}">
  <dimension ref="A1:K31"/>
  <sheetViews>
    <sheetView workbookViewId="0">
      <pane xSplit="1" ySplit="1" topLeftCell="B2" activePane="bottomRight" state="frozen"/>
      <selection pane="topRight" activeCell="B1" sqref="B1"/>
      <selection pane="bottomLeft" activeCell="A2" sqref="A2"/>
      <selection pane="bottomRight" activeCell="H8" sqref="H8"/>
    </sheetView>
  </sheetViews>
  <sheetFormatPr defaultRowHeight="14.4" x14ac:dyDescent="0.3"/>
  <cols>
    <col min="6" max="6" width="10.109375" bestFit="1" customWidth="1"/>
    <col min="8" max="8" width="12.33203125" bestFit="1" customWidth="1"/>
    <col min="9" max="9" width="16.44140625" bestFit="1" customWidth="1"/>
    <col min="10" max="10" width="3.77734375" bestFit="1" customWidth="1"/>
    <col min="11" max="11" width="10.77734375" bestFit="1" customWidth="1"/>
  </cols>
  <sheetData>
    <row r="1" spans="1:11" x14ac:dyDescent="0.3">
      <c r="A1" s="18" t="s">
        <v>0</v>
      </c>
      <c r="B1" s="18" t="s">
        <v>1</v>
      </c>
      <c r="C1" s="18" t="s">
        <v>2</v>
      </c>
      <c r="D1" s="18" t="s">
        <v>3</v>
      </c>
      <c r="E1" s="18" t="s">
        <v>24</v>
      </c>
      <c r="F1" s="18" t="s">
        <v>4</v>
      </c>
      <c r="I1" s="26" t="s">
        <v>28</v>
      </c>
    </row>
    <row r="2" spans="1:11" x14ac:dyDescent="0.3">
      <c r="A2" s="16">
        <v>1001</v>
      </c>
      <c r="B2" s="16" t="s">
        <v>5</v>
      </c>
      <c r="C2" s="11">
        <v>100</v>
      </c>
      <c r="D2" t="str">
        <f>IF(C2&lt;35,"Fail","Pass")</f>
        <v>Pass</v>
      </c>
      <c r="E2" t="str">
        <f>IF(C2&lt;35,"Fail",IF(C2&lt;60,"Pass",IF(C2&lt;75,"First class","Disctinction")))</f>
        <v>Disctinction</v>
      </c>
      <c r="F2" s="1">
        <f ca="1">TODAY()</f>
        <v>45925</v>
      </c>
      <c r="I2" s="19" t="s">
        <v>29</v>
      </c>
      <c r="J2" s="26" t="s">
        <v>30</v>
      </c>
    </row>
    <row r="3" spans="1:11" x14ac:dyDescent="0.3">
      <c r="A3" s="16">
        <v>1002</v>
      </c>
      <c r="B3" s="16" t="s">
        <v>6</v>
      </c>
      <c r="C3">
        <v>57</v>
      </c>
      <c r="D3" t="str">
        <f t="shared" ref="D3:D31" si="0">IF(C3&lt;35,"Fail","Pass")</f>
        <v>Pass</v>
      </c>
      <c r="E3" t="str">
        <f t="shared" ref="E3:E31" si="1">IF(C3&lt;35,"Fail",IF(C3&lt;60,"Pass",IF(C3&lt;75,"First class","Disctinction")))</f>
        <v>Pass</v>
      </c>
      <c r="F3" s="1">
        <f t="shared" ref="F3:F11" ca="1" si="2">TODAY()</f>
        <v>45925</v>
      </c>
      <c r="I3" s="19" t="s">
        <v>31</v>
      </c>
      <c r="J3" t="s">
        <v>32</v>
      </c>
    </row>
    <row r="4" spans="1:11" x14ac:dyDescent="0.3">
      <c r="A4" s="16">
        <v>1003</v>
      </c>
      <c r="B4" s="16" t="s">
        <v>7</v>
      </c>
      <c r="C4">
        <v>51</v>
      </c>
      <c r="D4" t="str">
        <f t="shared" si="0"/>
        <v>Pass</v>
      </c>
      <c r="E4" t="str">
        <f t="shared" si="1"/>
        <v>Pass</v>
      </c>
      <c r="F4" s="1">
        <f t="shared" ca="1" si="2"/>
        <v>45925</v>
      </c>
      <c r="I4" s="19"/>
    </row>
    <row r="5" spans="1:11" x14ac:dyDescent="0.3">
      <c r="A5" s="16">
        <v>1004</v>
      </c>
      <c r="B5" s="16" t="s">
        <v>8</v>
      </c>
      <c r="C5">
        <v>82</v>
      </c>
      <c r="D5" t="str">
        <f t="shared" si="0"/>
        <v>Pass</v>
      </c>
      <c r="E5" t="str">
        <f t="shared" si="1"/>
        <v>Disctinction</v>
      </c>
      <c r="F5" s="1">
        <f t="shared" ca="1" si="2"/>
        <v>45925</v>
      </c>
      <c r="H5" s="4" t="s">
        <v>24</v>
      </c>
      <c r="I5" s="16" t="s">
        <v>33</v>
      </c>
    </row>
    <row r="6" spans="1:11" x14ac:dyDescent="0.3">
      <c r="A6" s="16">
        <v>1005</v>
      </c>
      <c r="B6" s="16" t="s">
        <v>9</v>
      </c>
      <c r="C6">
        <v>33</v>
      </c>
      <c r="D6" t="str">
        <f t="shared" si="0"/>
        <v>Fail</v>
      </c>
      <c r="E6" t="str">
        <f t="shared" si="1"/>
        <v>Fail</v>
      </c>
      <c r="F6" s="1">
        <f t="shared" ca="1" si="2"/>
        <v>45925</v>
      </c>
    </row>
    <row r="7" spans="1:11" x14ac:dyDescent="0.3">
      <c r="A7" s="16">
        <v>1006</v>
      </c>
      <c r="B7" s="16" t="s">
        <v>10</v>
      </c>
      <c r="C7">
        <v>87</v>
      </c>
      <c r="D7" t="str">
        <f t="shared" si="0"/>
        <v>Pass</v>
      </c>
      <c r="E7" t="str">
        <f t="shared" si="1"/>
        <v>Disctinction</v>
      </c>
      <c r="F7" s="1">
        <f t="shared" ca="1" si="2"/>
        <v>45925</v>
      </c>
      <c r="H7" s="4" t="s">
        <v>15</v>
      </c>
      <c r="I7" s="4" t="s">
        <v>18</v>
      </c>
    </row>
    <row r="8" spans="1:11" x14ac:dyDescent="0.3">
      <c r="A8" s="16">
        <v>1007</v>
      </c>
      <c r="B8" s="16" t="s">
        <v>11</v>
      </c>
      <c r="C8">
        <v>54</v>
      </c>
      <c r="D8" t="str">
        <f t="shared" si="0"/>
        <v>Pass</v>
      </c>
      <c r="E8" t="str">
        <f t="shared" si="1"/>
        <v>Pass</v>
      </c>
      <c r="F8" s="1">
        <f t="shared" ca="1" si="2"/>
        <v>45925</v>
      </c>
      <c r="H8" s="4" t="s">
        <v>16</v>
      </c>
      <c r="I8" t="s">
        <v>19</v>
      </c>
      <c r="J8" t="s">
        <v>20</v>
      </c>
      <c r="K8" t="s">
        <v>17</v>
      </c>
    </row>
    <row r="9" spans="1:11" x14ac:dyDescent="0.3">
      <c r="A9" s="16">
        <v>1008</v>
      </c>
      <c r="B9" s="16" t="s">
        <v>12</v>
      </c>
      <c r="C9">
        <v>55</v>
      </c>
      <c r="D9" t="str">
        <f t="shared" si="0"/>
        <v>Pass</v>
      </c>
      <c r="E9" t="str">
        <f t="shared" si="1"/>
        <v>Pass</v>
      </c>
      <c r="F9" s="1">
        <f t="shared" ca="1" si="2"/>
        <v>45925</v>
      </c>
      <c r="H9" s="5">
        <v>45510</v>
      </c>
      <c r="I9">
        <v>445</v>
      </c>
      <c r="J9">
        <v>40</v>
      </c>
      <c r="K9">
        <v>485</v>
      </c>
    </row>
    <row r="10" spans="1:11" x14ac:dyDescent="0.3">
      <c r="A10" s="16">
        <v>1009</v>
      </c>
      <c r="B10" s="16" t="s">
        <v>13</v>
      </c>
      <c r="C10">
        <v>59</v>
      </c>
      <c r="D10" t="str">
        <f t="shared" si="0"/>
        <v>Pass</v>
      </c>
      <c r="E10" t="str">
        <f t="shared" si="1"/>
        <v>Pass</v>
      </c>
      <c r="F10" s="1">
        <f t="shared" ca="1" si="2"/>
        <v>45925</v>
      </c>
      <c r="H10" s="5">
        <v>45509</v>
      </c>
      <c r="I10">
        <v>234</v>
      </c>
      <c r="J10">
        <v>49</v>
      </c>
      <c r="K10">
        <v>283</v>
      </c>
    </row>
    <row r="11" spans="1:11" x14ac:dyDescent="0.3">
      <c r="A11" s="16">
        <v>1010</v>
      </c>
      <c r="B11" s="16" t="s">
        <v>14</v>
      </c>
      <c r="C11">
        <v>72</v>
      </c>
      <c r="D11" t="str">
        <f t="shared" si="0"/>
        <v>Pass</v>
      </c>
      <c r="E11" t="str">
        <f t="shared" si="1"/>
        <v>First class</v>
      </c>
      <c r="F11" s="1">
        <f t="shared" ca="1" si="2"/>
        <v>45925</v>
      </c>
      <c r="H11" s="5">
        <v>45508</v>
      </c>
      <c r="I11">
        <v>318</v>
      </c>
      <c r="J11">
        <v>115</v>
      </c>
      <c r="K11">
        <v>433</v>
      </c>
    </row>
    <row r="12" spans="1:11" x14ac:dyDescent="0.3">
      <c r="A12">
        <v>1001</v>
      </c>
      <c r="B12" t="s">
        <v>5</v>
      </c>
      <c r="C12" s="11">
        <v>12</v>
      </c>
      <c r="D12" t="str">
        <f t="shared" si="0"/>
        <v>Fail</v>
      </c>
      <c r="E12" t="str">
        <f t="shared" si="1"/>
        <v>Fail</v>
      </c>
      <c r="F12" s="2">
        <f ca="1">F2-1</f>
        <v>45924</v>
      </c>
      <c r="H12" s="5" t="s">
        <v>17</v>
      </c>
      <c r="I12">
        <v>997</v>
      </c>
      <c r="J12">
        <v>204</v>
      </c>
      <c r="K12">
        <v>1201</v>
      </c>
    </row>
    <row r="13" spans="1:11" x14ac:dyDescent="0.3">
      <c r="A13">
        <v>1002</v>
      </c>
      <c r="B13" t="s">
        <v>6</v>
      </c>
      <c r="C13">
        <v>69</v>
      </c>
      <c r="D13" t="str">
        <f t="shared" si="0"/>
        <v>Pass</v>
      </c>
      <c r="E13" t="str">
        <f t="shared" si="1"/>
        <v>First class</v>
      </c>
      <c r="F13" s="2">
        <f t="shared" ref="F13:F31" ca="1" si="3">F3-1</f>
        <v>45924</v>
      </c>
    </row>
    <row r="14" spans="1:11" x14ac:dyDescent="0.3">
      <c r="A14">
        <v>1003</v>
      </c>
      <c r="B14" t="s">
        <v>7</v>
      </c>
      <c r="C14">
        <v>74</v>
      </c>
      <c r="D14" t="str">
        <f t="shared" si="0"/>
        <v>Pass</v>
      </c>
      <c r="E14" t="str">
        <f t="shared" si="1"/>
        <v>First class</v>
      </c>
      <c r="F14" s="2">
        <f t="shared" ca="1" si="3"/>
        <v>45924</v>
      </c>
    </row>
    <row r="15" spans="1:11" x14ac:dyDescent="0.3">
      <c r="A15">
        <v>1004</v>
      </c>
      <c r="B15" t="s">
        <v>8</v>
      </c>
      <c r="C15">
        <v>51</v>
      </c>
      <c r="D15" t="str">
        <f t="shared" si="0"/>
        <v>Pass</v>
      </c>
      <c r="E15" t="str">
        <f t="shared" si="1"/>
        <v>Pass</v>
      </c>
      <c r="F15" s="2">
        <f t="shared" ca="1" si="3"/>
        <v>45924</v>
      </c>
    </row>
    <row r="16" spans="1:11" x14ac:dyDescent="0.3">
      <c r="A16">
        <v>1005</v>
      </c>
      <c r="B16" t="s">
        <v>9</v>
      </c>
      <c r="C16">
        <v>22</v>
      </c>
      <c r="D16" t="str">
        <f t="shared" si="0"/>
        <v>Fail</v>
      </c>
      <c r="E16" t="str">
        <f t="shared" si="1"/>
        <v>Fail</v>
      </c>
      <c r="F16" s="2">
        <f t="shared" ca="1" si="3"/>
        <v>45924</v>
      </c>
    </row>
    <row r="17" spans="1:6" x14ac:dyDescent="0.3">
      <c r="A17">
        <v>1006</v>
      </c>
      <c r="B17" t="s">
        <v>10</v>
      </c>
      <c r="C17">
        <v>15</v>
      </c>
      <c r="D17" t="str">
        <f t="shared" si="0"/>
        <v>Fail</v>
      </c>
      <c r="E17" t="str">
        <f t="shared" si="1"/>
        <v>Fail</v>
      </c>
      <c r="F17" s="2">
        <f t="shared" ca="1" si="3"/>
        <v>45924</v>
      </c>
    </row>
    <row r="18" spans="1:6" x14ac:dyDescent="0.3">
      <c r="A18">
        <v>1007</v>
      </c>
      <c r="B18" t="s">
        <v>11</v>
      </c>
      <c r="C18">
        <v>74</v>
      </c>
      <c r="D18" t="str">
        <f t="shared" si="0"/>
        <v>Pass</v>
      </c>
      <c r="E18" t="str">
        <f t="shared" si="1"/>
        <v>First class</v>
      </c>
      <c r="F18" s="2">
        <f t="shared" ca="1" si="3"/>
        <v>45924</v>
      </c>
    </row>
    <row r="19" spans="1:6" x14ac:dyDescent="0.3">
      <c r="A19">
        <v>1008</v>
      </c>
      <c r="B19" t="s">
        <v>12</v>
      </c>
      <c r="C19">
        <v>85</v>
      </c>
      <c r="D19" t="str">
        <f t="shared" si="0"/>
        <v>Pass</v>
      </c>
      <c r="E19" t="str">
        <f t="shared" si="1"/>
        <v>Disctinction</v>
      </c>
      <c r="F19" s="2">
        <f t="shared" ca="1" si="3"/>
        <v>45924</v>
      </c>
    </row>
    <row r="20" spans="1:6" x14ac:dyDescent="0.3">
      <c r="A20">
        <v>1009</v>
      </c>
      <c r="B20" t="s">
        <v>13</v>
      </c>
      <c r="C20">
        <v>98</v>
      </c>
      <c r="D20" t="str">
        <f t="shared" si="0"/>
        <v>Pass</v>
      </c>
      <c r="E20" t="str">
        <f t="shared" si="1"/>
        <v>Disctinction</v>
      </c>
      <c r="F20" s="2">
        <f t="shared" ca="1" si="3"/>
        <v>45924</v>
      </c>
    </row>
    <row r="21" spans="1:6" x14ac:dyDescent="0.3">
      <c r="A21">
        <v>1010</v>
      </c>
      <c r="B21" t="s">
        <v>14</v>
      </c>
      <c r="C21">
        <v>71</v>
      </c>
      <c r="D21" t="str">
        <f t="shared" si="0"/>
        <v>Pass</v>
      </c>
      <c r="E21" t="str">
        <f t="shared" si="1"/>
        <v>First class</v>
      </c>
      <c r="F21" s="2">
        <f t="shared" ca="1" si="3"/>
        <v>45924</v>
      </c>
    </row>
    <row r="22" spans="1:6" x14ac:dyDescent="0.3">
      <c r="A22" s="16">
        <v>1001</v>
      </c>
      <c r="B22" s="16" t="s">
        <v>5</v>
      </c>
      <c r="C22" s="11">
        <v>69</v>
      </c>
      <c r="D22" t="str">
        <f t="shared" si="0"/>
        <v>Pass</v>
      </c>
      <c r="E22" t="str">
        <f t="shared" si="1"/>
        <v>First class</v>
      </c>
      <c r="F22" s="1">
        <f t="shared" ca="1" si="3"/>
        <v>45923</v>
      </c>
    </row>
    <row r="23" spans="1:6" x14ac:dyDescent="0.3">
      <c r="A23" s="16">
        <v>1002</v>
      </c>
      <c r="B23" s="16" t="s">
        <v>6</v>
      </c>
      <c r="C23">
        <v>49</v>
      </c>
      <c r="D23" t="str">
        <f t="shared" si="0"/>
        <v>Pass</v>
      </c>
      <c r="E23" t="str">
        <f t="shared" si="1"/>
        <v>Pass</v>
      </c>
      <c r="F23" s="1">
        <f t="shared" ca="1" si="3"/>
        <v>45923</v>
      </c>
    </row>
    <row r="24" spans="1:6" x14ac:dyDescent="0.3">
      <c r="A24" s="16">
        <v>1003</v>
      </c>
      <c r="B24" s="16" t="s">
        <v>7</v>
      </c>
      <c r="C24">
        <v>32</v>
      </c>
      <c r="D24" t="str">
        <f t="shared" si="0"/>
        <v>Fail</v>
      </c>
      <c r="E24" t="str">
        <f t="shared" si="1"/>
        <v>Fail</v>
      </c>
      <c r="F24" s="1">
        <f t="shared" ca="1" si="3"/>
        <v>45923</v>
      </c>
    </row>
    <row r="25" spans="1:6" x14ac:dyDescent="0.3">
      <c r="A25" s="16">
        <v>1004</v>
      </c>
      <c r="B25" s="16" t="s">
        <v>8</v>
      </c>
      <c r="C25">
        <v>85</v>
      </c>
      <c r="D25" t="str">
        <f t="shared" si="0"/>
        <v>Pass</v>
      </c>
      <c r="E25" t="str">
        <f t="shared" si="1"/>
        <v>Disctinction</v>
      </c>
      <c r="F25" s="1">
        <f t="shared" ca="1" si="3"/>
        <v>45923</v>
      </c>
    </row>
    <row r="26" spans="1:6" x14ac:dyDescent="0.3">
      <c r="A26" s="16">
        <v>1005</v>
      </c>
      <c r="B26" s="16" t="s">
        <v>9</v>
      </c>
      <c r="C26">
        <v>8</v>
      </c>
      <c r="D26" t="str">
        <f t="shared" si="0"/>
        <v>Fail</v>
      </c>
      <c r="E26" t="str">
        <f t="shared" si="1"/>
        <v>Fail</v>
      </c>
      <c r="F26" s="1">
        <f t="shared" ca="1" si="3"/>
        <v>45923</v>
      </c>
    </row>
    <row r="27" spans="1:6" x14ac:dyDescent="0.3">
      <c r="A27" s="16">
        <v>1006</v>
      </c>
      <c r="B27" s="16" t="s">
        <v>10</v>
      </c>
      <c r="C27">
        <v>23</v>
      </c>
      <c r="D27" t="str">
        <f t="shared" si="0"/>
        <v>Fail</v>
      </c>
      <c r="E27" t="str">
        <f t="shared" si="1"/>
        <v>Fail</v>
      </c>
      <c r="F27" s="1">
        <f t="shared" ca="1" si="3"/>
        <v>45923</v>
      </c>
    </row>
    <row r="28" spans="1:6" x14ac:dyDescent="0.3">
      <c r="A28" s="16">
        <v>1007</v>
      </c>
      <c r="B28" s="16" t="s">
        <v>11</v>
      </c>
      <c r="C28">
        <v>22</v>
      </c>
      <c r="D28" t="str">
        <f t="shared" si="0"/>
        <v>Fail</v>
      </c>
      <c r="E28" t="str">
        <f t="shared" si="1"/>
        <v>Fail</v>
      </c>
      <c r="F28" s="1">
        <f t="shared" ca="1" si="3"/>
        <v>45923</v>
      </c>
    </row>
    <row r="29" spans="1:6" x14ac:dyDescent="0.3">
      <c r="A29" s="16">
        <v>1008</v>
      </c>
      <c r="B29" s="16" t="s">
        <v>12</v>
      </c>
      <c r="C29">
        <v>30</v>
      </c>
      <c r="D29" t="str">
        <f t="shared" si="0"/>
        <v>Fail</v>
      </c>
      <c r="E29" t="str">
        <f t="shared" si="1"/>
        <v>Fail</v>
      </c>
      <c r="F29" s="1">
        <f t="shared" ca="1" si="3"/>
        <v>45923</v>
      </c>
    </row>
    <row r="30" spans="1:6" x14ac:dyDescent="0.3">
      <c r="A30" s="16">
        <v>1009</v>
      </c>
      <c r="B30" s="16" t="s">
        <v>13</v>
      </c>
      <c r="C30">
        <v>98</v>
      </c>
      <c r="D30" t="str">
        <f t="shared" si="0"/>
        <v>Pass</v>
      </c>
      <c r="E30" t="str">
        <f t="shared" si="1"/>
        <v>Disctinction</v>
      </c>
      <c r="F30" s="1">
        <f t="shared" ca="1" si="3"/>
        <v>45923</v>
      </c>
    </row>
    <row r="31" spans="1:6" x14ac:dyDescent="0.3">
      <c r="A31" s="16">
        <v>1010</v>
      </c>
      <c r="B31" s="16" t="s">
        <v>14</v>
      </c>
      <c r="C31">
        <v>86</v>
      </c>
      <c r="D31" t="str">
        <f t="shared" si="0"/>
        <v>Pass</v>
      </c>
      <c r="E31" t="str">
        <f t="shared" si="1"/>
        <v>Disctinction</v>
      </c>
      <c r="F31" s="1">
        <f t="shared" ca="1" si="3"/>
        <v>45923</v>
      </c>
    </row>
  </sheetData>
  <autoFilter ref="A1:F31" xr:uid="{97EA9739-6FC2-425F-A8D9-D322CBCCBBC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9B54-A3E3-4503-9438-9E0BACBC76DD}">
  <dimension ref="A1:AE15"/>
  <sheetViews>
    <sheetView workbookViewId="0">
      <selection activeCell="A10" sqref="A10:AE15"/>
    </sheetView>
  </sheetViews>
  <sheetFormatPr defaultRowHeight="14.4" x14ac:dyDescent="0.3"/>
  <cols>
    <col min="1" max="1" width="6" bestFit="1" customWidth="1"/>
    <col min="2" max="4" width="10.109375" bestFit="1" customWidth="1"/>
    <col min="5" max="5" width="10.44140625" bestFit="1" customWidth="1"/>
    <col min="6" max="6" width="10.109375" bestFit="1" customWidth="1"/>
    <col min="7" max="7" width="10.44140625" bestFit="1" customWidth="1"/>
    <col min="8" max="18" width="10.109375" bestFit="1" customWidth="1"/>
    <col min="19" max="20" width="10.44140625" bestFit="1" customWidth="1"/>
    <col min="21" max="24" width="10.109375" bestFit="1" customWidth="1"/>
    <col min="25" max="25" width="10.44140625" bestFit="1" customWidth="1"/>
    <col min="26" max="29" width="10.109375" bestFit="1" customWidth="1"/>
    <col min="30" max="31" width="10.44140625" bestFit="1" customWidth="1"/>
  </cols>
  <sheetData>
    <row r="1" spans="1:31" x14ac:dyDescent="0.3">
      <c r="A1" s="20" t="s">
        <v>0</v>
      </c>
      <c r="B1" s="21">
        <v>1001</v>
      </c>
      <c r="C1" s="21">
        <v>1002</v>
      </c>
      <c r="D1" s="21">
        <v>1003</v>
      </c>
      <c r="E1" s="21">
        <v>1004</v>
      </c>
      <c r="F1" s="21">
        <v>1005</v>
      </c>
      <c r="G1" s="21">
        <v>1006</v>
      </c>
      <c r="H1" s="21">
        <v>1007</v>
      </c>
      <c r="I1" s="21">
        <v>1008</v>
      </c>
      <c r="J1" s="21">
        <v>1009</v>
      </c>
      <c r="K1" s="21">
        <v>1010</v>
      </c>
      <c r="L1" s="22">
        <v>1001</v>
      </c>
      <c r="M1" s="22">
        <v>1002</v>
      </c>
      <c r="N1" s="22">
        <v>1003</v>
      </c>
      <c r="O1" s="22">
        <v>1004</v>
      </c>
      <c r="P1" s="22">
        <v>1005</v>
      </c>
      <c r="Q1" s="22">
        <v>1006</v>
      </c>
      <c r="R1" s="22">
        <v>1007</v>
      </c>
      <c r="S1" s="22">
        <v>1008</v>
      </c>
      <c r="T1" s="22">
        <v>1009</v>
      </c>
      <c r="U1" s="22">
        <v>1010</v>
      </c>
      <c r="V1" s="21">
        <v>1001</v>
      </c>
      <c r="W1" s="21">
        <v>1002</v>
      </c>
      <c r="X1" s="21">
        <v>1003</v>
      </c>
      <c r="Y1" s="21">
        <v>1004</v>
      </c>
      <c r="Z1" s="21">
        <v>1005</v>
      </c>
      <c r="AA1" s="21">
        <v>1006</v>
      </c>
      <c r="AB1" s="21">
        <v>1007</v>
      </c>
      <c r="AC1" s="21">
        <v>1008</v>
      </c>
      <c r="AD1" s="21">
        <v>1009</v>
      </c>
      <c r="AE1" s="21">
        <v>1010</v>
      </c>
    </row>
    <row r="2" spans="1:31" x14ac:dyDescent="0.3">
      <c r="A2" s="20" t="s">
        <v>1</v>
      </c>
      <c r="B2" s="21" t="s">
        <v>5</v>
      </c>
      <c r="C2" s="21" t="s">
        <v>6</v>
      </c>
      <c r="D2" s="21" t="s">
        <v>7</v>
      </c>
      <c r="E2" s="21" t="s">
        <v>8</v>
      </c>
      <c r="F2" s="21" t="s">
        <v>9</v>
      </c>
      <c r="G2" s="21" t="s">
        <v>10</v>
      </c>
      <c r="H2" s="21" t="s">
        <v>11</v>
      </c>
      <c r="I2" s="21" t="s">
        <v>12</v>
      </c>
      <c r="J2" s="21" t="s">
        <v>13</v>
      </c>
      <c r="K2" s="21" t="s">
        <v>14</v>
      </c>
      <c r="L2" s="22" t="s">
        <v>5</v>
      </c>
      <c r="M2" s="22" t="s">
        <v>6</v>
      </c>
      <c r="N2" s="22" t="s">
        <v>7</v>
      </c>
      <c r="O2" s="22" t="s">
        <v>8</v>
      </c>
      <c r="P2" s="22" t="s">
        <v>9</v>
      </c>
      <c r="Q2" s="22" t="s">
        <v>10</v>
      </c>
      <c r="R2" s="22" t="s">
        <v>11</v>
      </c>
      <c r="S2" s="22" t="s">
        <v>12</v>
      </c>
      <c r="T2" s="22" t="s">
        <v>13</v>
      </c>
      <c r="U2" s="22" t="s">
        <v>14</v>
      </c>
      <c r="V2" s="21" t="s">
        <v>5</v>
      </c>
      <c r="W2" s="21" t="s">
        <v>6</v>
      </c>
      <c r="X2" s="21" t="s">
        <v>7</v>
      </c>
      <c r="Y2" s="21" t="s">
        <v>8</v>
      </c>
      <c r="Z2" s="21" t="s">
        <v>9</v>
      </c>
      <c r="AA2" s="21" t="s">
        <v>10</v>
      </c>
      <c r="AB2" s="21" t="s">
        <v>11</v>
      </c>
      <c r="AC2" s="21" t="s">
        <v>12</v>
      </c>
      <c r="AD2" s="21" t="s">
        <v>13</v>
      </c>
      <c r="AE2" s="21" t="s">
        <v>14</v>
      </c>
    </row>
    <row r="3" spans="1:31" x14ac:dyDescent="0.3">
      <c r="A3" s="20" t="s">
        <v>2</v>
      </c>
      <c r="B3" s="23">
        <v>7</v>
      </c>
      <c r="C3" s="22">
        <v>57</v>
      </c>
      <c r="D3" s="22">
        <v>51</v>
      </c>
      <c r="E3" s="22">
        <v>82</v>
      </c>
      <c r="F3" s="22">
        <v>33</v>
      </c>
      <c r="G3" s="22">
        <v>87</v>
      </c>
      <c r="H3" s="22">
        <v>54</v>
      </c>
      <c r="I3" s="22">
        <v>55</v>
      </c>
      <c r="J3" s="22">
        <v>59</v>
      </c>
      <c r="K3" s="22">
        <v>72</v>
      </c>
      <c r="L3" s="23">
        <v>12</v>
      </c>
      <c r="M3" s="22">
        <v>69</v>
      </c>
      <c r="N3" s="22">
        <v>74</v>
      </c>
      <c r="O3" s="22">
        <v>51</v>
      </c>
      <c r="P3" s="22">
        <v>22</v>
      </c>
      <c r="Q3" s="22">
        <v>15</v>
      </c>
      <c r="R3" s="22">
        <v>74</v>
      </c>
      <c r="S3" s="22">
        <v>85</v>
      </c>
      <c r="T3" s="22">
        <v>98</v>
      </c>
      <c r="U3" s="22">
        <v>71</v>
      </c>
      <c r="V3" s="23">
        <v>69</v>
      </c>
      <c r="W3" s="22">
        <v>49</v>
      </c>
      <c r="X3" s="22">
        <v>32</v>
      </c>
      <c r="Y3" s="22">
        <v>85</v>
      </c>
      <c r="Z3" s="22">
        <v>8</v>
      </c>
      <c r="AA3" s="22">
        <v>23</v>
      </c>
      <c r="AB3" s="22">
        <v>22</v>
      </c>
      <c r="AC3" s="22">
        <v>30</v>
      </c>
      <c r="AD3" s="22">
        <v>98</v>
      </c>
      <c r="AE3" s="22">
        <v>86</v>
      </c>
    </row>
    <row r="4" spans="1:31" x14ac:dyDescent="0.3">
      <c r="A4" s="20" t="s">
        <v>3</v>
      </c>
      <c r="B4" s="22" t="str">
        <f t="shared" ref="B4:AE4" si="0">IF(B3&lt;35,"Fail","Pass")</f>
        <v>Fail</v>
      </c>
      <c r="C4" s="22" t="str">
        <f t="shared" si="0"/>
        <v>Pass</v>
      </c>
      <c r="D4" s="22" t="str">
        <f t="shared" si="0"/>
        <v>Pass</v>
      </c>
      <c r="E4" s="22" t="str">
        <f t="shared" si="0"/>
        <v>Pass</v>
      </c>
      <c r="F4" s="22" t="str">
        <f t="shared" si="0"/>
        <v>Fail</v>
      </c>
      <c r="G4" s="22" t="str">
        <f t="shared" si="0"/>
        <v>Pass</v>
      </c>
      <c r="H4" s="22" t="str">
        <f t="shared" si="0"/>
        <v>Pass</v>
      </c>
      <c r="I4" s="22" t="str">
        <f t="shared" si="0"/>
        <v>Pass</v>
      </c>
      <c r="J4" s="22" t="str">
        <f t="shared" si="0"/>
        <v>Pass</v>
      </c>
      <c r="K4" s="22" t="str">
        <f t="shared" si="0"/>
        <v>Pass</v>
      </c>
      <c r="L4" s="22" t="str">
        <f t="shared" si="0"/>
        <v>Fail</v>
      </c>
      <c r="M4" s="22" t="str">
        <f t="shared" si="0"/>
        <v>Pass</v>
      </c>
      <c r="N4" s="22" t="str">
        <f t="shared" si="0"/>
        <v>Pass</v>
      </c>
      <c r="O4" s="22" t="str">
        <f t="shared" si="0"/>
        <v>Pass</v>
      </c>
      <c r="P4" s="22" t="str">
        <f t="shared" si="0"/>
        <v>Fail</v>
      </c>
      <c r="Q4" s="22" t="str">
        <f t="shared" si="0"/>
        <v>Fail</v>
      </c>
      <c r="R4" s="22" t="str">
        <f t="shared" si="0"/>
        <v>Pass</v>
      </c>
      <c r="S4" s="22" t="str">
        <f t="shared" si="0"/>
        <v>Pass</v>
      </c>
      <c r="T4" s="22" t="str">
        <f t="shared" si="0"/>
        <v>Pass</v>
      </c>
      <c r="U4" s="22" t="str">
        <f t="shared" si="0"/>
        <v>Pass</v>
      </c>
      <c r="V4" s="22" t="str">
        <f t="shared" si="0"/>
        <v>Pass</v>
      </c>
      <c r="W4" s="22" t="str">
        <f t="shared" si="0"/>
        <v>Pass</v>
      </c>
      <c r="X4" s="22" t="str">
        <f t="shared" si="0"/>
        <v>Fail</v>
      </c>
      <c r="Y4" s="22" t="str">
        <f t="shared" si="0"/>
        <v>Pass</v>
      </c>
      <c r="Z4" s="22" t="str">
        <f t="shared" si="0"/>
        <v>Fail</v>
      </c>
      <c r="AA4" s="22" t="str">
        <f t="shared" si="0"/>
        <v>Fail</v>
      </c>
      <c r="AB4" s="22" t="str">
        <f t="shared" si="0"/>
        <v>Fail</v>
      </c>
      <c r="AC4" s="22" t="str">
        <f t="shared" si="0"/>
        <v>Fail</v>
      </c>
      <c r="AD4" s="22" t="str">
        <f t="shared" si="0"/>
        <v>Pass</v>
      </c>
      <c r="AE4" s="22" t="str">
        <f t="shared" si="0"/>
        <v>Pass</v>
      </c>
    </row>
    <row r="5" spans="1:31" x14ac:dyDescent="0.3">
      <c r="A5" s="20" t="s">
        <v>24</v>
      </c>
      <c r="B5" s="22" t="str">
        <f t="shared" ref="B5:AE5" si="1">IF(B3&lt;35,"Fail",IF(B3&lt;60,"Pass",IF(B3&lt;75,"First class","Disctinction")))</f>
        <v>Fail</v>
      </c>
      <c r="C5" s="22" t="str">
        <f t="shared" si="1"/>
        <v>Pass</v>
      </c>
      <c r="D5" s="22" t="str">
        <f t="shared" si="1"/>
        <v>Pass</v>
      </c>
      <c r="E5" s="22" t="str">
        <f t="shared" si="1"/>
        <v>Disctinction</v>
      </c>
      <c r="F5" s="22" t="str">
        <f t="shared" si="1"/>
        <v>Fail</v>
      </c>
      <c r="G5" s="22" t="str">
        <f t="shared" si="1"/>
        <v>Disctinction</v>
      </c>
      <c r="H5" s="22" t="str">
        <f t="shared" si="1"/>
        <v>Pass</v>
      </c>
      <c r="I5" s="22" t="str">
        <f t="shared" si="1"/>
        <v>Pass</v>
      </c>
      <c r="J5" s="22" t="str">
        <f t="shared" si="1"/>
        <v>Pass</v>
      </c>
      <c r="K5" s="22" t="str">
        <f t="shared" si="1"/>
        <v>First class</v>
      </c>
      <c r="L5" s="22" t="str">
        <f t="shared" si="1"/>
        <v>Fail</v>
      </c>
      <c r="M5" s="22" t="str">
        <f t="shared" si="1"/>
        <v>First class</v>
      </c>
      <c r="N5" s="22" t="str">
        <f t="shared" si="1"/>
        <v>First class</v>
      </c>
      <c r="O5" s="22" t="str">
        <f t="shared" si="1"/>
        <v>Pass</v>
      </c>
      <c r="P5" s="22" t="str">
        <f t="shared" si="1"/>
        <v>Fail</v>
      </c>
      <c r="Q5" s="22" t="str">
        <f t="shared" si="1"/>
        <v>Fail</v>
      </c>
      <c r="R5" s="22" t="str">
        <f t="shared" si="1"/>
        <v>First class</v>
      </c>
      <c r="S5" s="22" t="str">
        <f t="shared" si="1"/>
        <v>Disctinction</v>
      </c>
      <c r="T5" s="22" t="str">
        <f t="shared" si="1"/>
        <v>Disctinction</v>
      </c>
      <c r="U5" s="22" t="str">
        <f t="shared" si="1"/>
        <v>First class</v>
      </c>
      <c r="V5" s="22" t="str">
        <f t="shared" si="1"/>
        <v>First class</v>
      </c>
      <c r="W5" s="22" t="str">
        <f t="shared" si="1"/>
        <v>Pass</v>
      </c>
      <c r="X5" s="22" t="str">
        <f t="shared" si="1"/>
        <v>Fail</v>
      </c>
      <c r="Y5" s="22" t="str">
        <f t="shared" si="1"/>
        <v>Disctinction</v>
      </c>
      <c r="Z5" s="22" t="str">
        <f t="shared" si="1"/>
        <v>Fail</v>
      </c>
      <c r="AA5" s="22" t="str">
        <f t="shared" si="1"/>
        <v>Fail</v>
      </c>
      <c r="AB5" s="22" t="str">
        <f t="shared" si="1"/>
        <v>Fail</v>
      </c>
      <c r="AC5" s="22" t="str">
        <f t="shared" si="1"/>
        <v>Fail</v>
      </c>
      <c r="AD5" s="22" t="str">
        <f t="shared" si="1"/>
        <v>Disctinction</v>
      </c>
      <c r="AE5" s="22" t="str">
        <f t="shared" si="1"/>
        <v>Disctinction</v>
      </c>
    </row>
    <row r="6" spans="1:31" x14ac:dyDescent="0.3">
      <c r="A6" s="20" t="s">
        <v>4</v>
      </c>
      <c r="B6" s="24">
        <f t="shared" ref="B6:K6" ca="1" si="2">TODAY()</f>
        <v>45925</v>
      </c>
      <c r="C6" s="24">
        <f t="shared" ca="1" si="2"/>
        <v>45925</v>
      </c>
      <c r="D6" s="24">
        <f t="shared" ca="1" si="2"/>
        <v>45925</v>
      </c>
      <c r="E6" s="24">
        <f t="shared" ca="1" si="2"/>
        <v>45925</v>
      </c>
      <c r="F6" s="24">
        <f t="shared" ca="1" si="2"/>
        <v>45925</v>
      </c>
      <c r="G6" s="24">
        <f t="shared" ca="1" si="2"/>
        <v>45925</v>
      </c>
      <c r="H6" s="24">
        <f t="shared" ca="1" si="2"/>
        <v>45925</v>
      </c>
      <c r="I6" s="24">
        <f t="shared" ca="1" si="2"/>
        <v>45925</v>
      </c>
      <c r="J6" s="24">
        <f t="shared" ca="1" si="2"/>
        <v>45925</v>
      </c>
      <c r="K6" s="24">
        <f t="shared" ca="1" si="2"/>
        <v>45925</v>
      </c>
      <c r="L6" s="25">
        <f t="shared" ref="L6:AE6" ca="1" si="3">B6-1</f>
        <v>45924</v>
      </c>
      <c r="M6" s="25">
        <f t="shared" ca="1" si="3"/>
        <v>45924</v>
      </c>
      <c r="N6" s="25">
        <f t="shared" ca="1" si="3"/>
        <v>45924</v>
      </c>
      <c r="O6" s="25">
        <f t="shared" ca="1" si="3"/>
        <v>45924</v>
      </c>
      <c r="P6" s="25">
        <f t="shared" ca="1" si="3"/>
        <v>45924</v>
      </c>
      <c r="Q6" s="25">
        <f t="shared" ca="1" si="3"/>
        <v>45924</v>
      </c>
      <c r="R6" s="25">
        <f t="shared" ca="1" si="3"/>
        <v>45924</v>
      </c>
      <c r="S6" s="25">
        <f t="shared" ca="1" si="3"/>
        <v>45924</v>
      </c>
      <c r="T6" s="25">
        <f t="shared" ca="1" si="3"/>
        <v>45924</v>
      </c>
      <c r="U6" s="25">
        <f t="shared" ca="1" si="3"/>
        <v>45924</v>
      </c>
      <c r="V6" s="24">
        <f t="shared" ca="1" si="3"/>
        <v>45923</v>
      </c>
      <c r="W6" s="24">
        <f t="shared" ca="1" si="3"/>
        <v>45923</v>
      </c>
      <c r="X6" s="24">
        <f t="shared" ca="1" si="3"/>
        <v>45923</v>
      </c>
      <c r="Y6" s="24">
        <f t="shared" ca="1" si="3"/>
        <v>45923</v>
      </c>
      <c r="Z6" s="24">
        <f t="shared" ca="1" si="3"/>
        <v>45923</v>
      </c>
      <c r="AA6" s="24">
        <f t="shared" ca="1" si="3"/>
        <v>45923</v>
      </c>
      <c r="AB6" s="24">
        <f t="shared" ca="1" si="3"/>
        <v>45923</v>
      </c>
      <c r="AC6" s="24">
        <f t="shared" ca="1" si="3"/>
        <v>45923</v>
      </c>
      <c r="AD6" s="24">
        <f t="shared" ca="1" si="3"/>
        <v>45923</v>
      </c>
      <c r="AE6" s="24">
        <f t="shared" ca="1" si="3"/>
        <v>45923</v>
      </c>
    </row>
    <row r="10" spans="1:31" x14ac:dyDescent="0.3">
      <c r="A10" s="27" t="s">
        <v>0</v>
      </c>
      <c r="B10" s="21">
        <v>1001</v>
      </c>
      <c r="C10" s="21">
        <v>1002</v>
      </c>
      <c r="D10" s="21">
        <v>1003</v>
      </c>
      <c r="E10" s="21">
        <v>1004</v>
      </c>
      <c r="F10" s="21">
        <v>1005</v>
      </c>
      <c r="G10" s="21">
        <v>1006</v>
      </c>
      <c r="H10" s="21">
        <v>1007</v>
      </c>
      <c r="I10" s="21">
        <v>1008</v>
      </c>
      <c r="J10" s="21">
        <v>1009</v>
      </c>
      <c r="K10" s="21">
        <v>1010</v>
      </c>
      <c r="L10" s="22">
        <v>1001</v>
      </c>
      <c r="M10" s="22">
        <v>1002</v>
      </c>
      <c r="N10" s="22">
        <v>1003</v>
      </c>
      <c r="O10" s="22">
        <v>1004</v>
      </c>
      <c r="P10" s="22">
        <v>1005</v>
      </c>
      <c r="Q10" s="22">
        <v>1006</v>
      </c>
      <c r="R10" s="22">
        <v>1007</v>
      </c>
      <c r="S10" s="22">
        <v>1008</v>
      </c>
      <c r="T10" s="22">
        <v>1009</v>
      </c>
      <c r="U10" s="22">
        <v>1010</v>
      </c>
      <c r="V10" s="21">
        <v>1001</v>
      </c>
      <c r="W10" s="21">
        <v>1002</v>
      </c>
      <c r="X10" s="21">
        <v>1003</v>
      </c>
      <c r="Y10" s="21">
        <v>1004</v>
      </c>
      <c r="Z10" s="21">
        <v>1005</v>
      </c>
      <c r="AA10" s="21">
        <v>1006</v>
      </c>
      <c r="AB10" s="21">
        <v>1007</v>
      </c>
      <c r="AC10" s="21">
        <v>1008</v>
      </c>
      <c r="AD10" s="21">
        <v>1009</v>
      </c>
      <c r="AE10" s="21">
        <v>1010</v>
      </c>
    </row>
    <row r="11" spans="1:31" x14ac:dyDescent="0.3">
      <c r="A11" s="27" t="s">
        <v>1</v>
      </c>
      <c r="B11" s="21" t="s">
        <v>5</v>
      </c>
      <c r="C11" s="21" t="s">
        <v>6</v>
      </c>
      <c r="D11" s="21" t="s">
        <v>7</v>
      </c>
      <c r="E11" s="21" t="s">
        <v>8</v>
      </c>
      <c r="F11" s="21" t="s">
        <v>9</v>
      </c>
      <c r="G11" s="21" t="s">
        <v>10</v>
      </c>
      <c r="H11" s="21" t="s">
        <v>11</v>
      </c>
      <c r="I11" s="21" t="s">
        <v>12</v>
      </c>
      <c r="J11" s="21" t="s">
        <v>13</v>
      </c>
      <c r="K11" s="21" t="s">
        <v>14</v>
      </c>
      <c r="L11" s="22" t="s">
        <v>5</v>
      </c>
      <c r="M11" s="22" t="s">
        <v>6</v>
      </c>
      <c r="N11" s="22" t="s">
        <v>7</v>
      </c>
      <c r="O11" s="22" t="s">
        <v>8</v>
      </c>
      <c r="P11" s="22" t="s">
        <v>9</v>
      </c>
      <c r="Q11" s="22" t="s">
        <v>10</v>
      </c>
      <c r="R11" s="22" t="s">
        <v>11</v>
      </c>
      <c r="S11" s="22" t="s">
        <v>12</v>
      </c>
      <c r="T11" s="22" t="s">
        <v>13</v>
      </c>
      <c r="U11" s="22" t="s">
        <v>14</v>
      </c>
      <c r="V11" s="21" t="s">
        <v>5</v>
      </c>
      <c r="W11" s="21" t="s">
        <v>6</v>
      </c>
      <c r="X11" s="21" t="s">
        <v>7</v>
      </c>
      <c r="Y11" s="21" t="s">
        <v>8</v>
      </c>
      <c r="Z11" s="21" t="s">
        <v>9</v>
      </c>
      <c r="AA11" s="21" t="s">
        <v>10</v>
      </c>
      <c r="AB11" s="21" t="s">
        <v>11</v>
      </c>
      <c r="AC11" s="21" t="s">
        <v>12</v>
      </c>
      <c r="AD11" s="21" t="s">
        <v>13</v>
      </c>
      <c r="AE11" s="21" t="s">
        <v>14</v>
      </c>
    </row>
    <row r="12" spans="1:31" x14ac:dyDescent="0.3">
      <c r="A12" s="27" t="s">
        <v>2</v>
      </c>
      <c r="B12" s="23">
        <v>7</v>
      </c>
      <c r="C12" s="22">
        <v>57</v>
      </c>
      <c r="D12" s="22">
        <v>51</v>
      </c>
      <c r="E12" s="22">
        <v>82</v>
      </c>
      <c r="F12" s="22">
        <v>33</v>
      </c>
      <c r="G12" s="22">
        <v>87</v>
      </c>
      <c r="H12" s="22">
        <v>54</v>
      </c>
      <c r="I12" s="22">
        <v>55</v>
      </c>
      <c r="J12" s="22">
        <v>59</v>
      </c>
      <c r="K12" s="22">
        <v>72</v>
      </c>
      <c r="L12" s="23">
        <v>12</v>
      </c>
      <c r="M12" s="22">
        <v>69</v>
      </c>
      <c r="N12" s="22">
        <v>74</v>
      </c>
      <c r="O12" s="22">
        <v>51</v>
      </c>
      <c r="P12" s="22">
        <v>22</v>
      </c>
      <c r="Q12" s="22">
        <v>15</v>
      </c>
      <c r="R12" s="22">
        <v>74</v>
      </c>
      <c r="S12" s="22">
        <v>85</v>
      </c>
      <c r="T12" s="22">
        <v>98</v>
      </c>
      <c r="U12" s="22">
        <v>71</v>
      </c>
      <c r="V12" s="23">
        <v>69</v>
      </c>
      <c r="W12" s="22">
        <v>49</v>
      </c>
      <c r="X12" s="22">
        <v>32</v>
      </c>
      <c r="Y12" s="22">
        <v>85</v>
      </c>
      <c r="Z12" s="22">
        <v>8</v>
      </c>
      <c r="AA12" s="22">
        <v>23</v>
      </c>
      <c r="AB12" s="22">
        <v>22</v>
      </c>
      <c r="AC12" s="22">
        <v>30</v>
      </c>
      <c r="AD12" s="22">
        <v>98</v>
      </c>
      <c r="AE12" s="22">
        <v>86</v>
      </c>
    </row>
    <row r="13" spans="1:31" ht="28.8" x14ac:dyDescent="0.3">
      <c r="A13" s="27" t="s">
        <v>3</v>
      </c>
      <c r="B13" s="22" t="str">
        <f t="shared" ref="B13:AE13" si="4">IF(B12&lt;35,"Fail","Pass")</f>
        <v>Fail</v>
      </c>
      <c r="C13" s="22" t="str">
        <f t="shared" si="4"/>
        <v>Pass</v>
      </c>
      <c r="D13" s="22" t="str">
        <f t="shared" si="4"/>
        <v>Pass</v>
      </c>
      <c r="E13" s="22" t="str">
        <f t="shared" si="4"/>
        <v>Pass</v>
      </c>
      <c r="F13" s="22" t="str">
        <f t="shared" si="4"/>
        <v>Fail</v>
      </c>
      <c r="G13" s="22" t="str">
        <f t="shared" si="4"/>
        <v>Pass</v>
      </c>
      <c r="H13" s="22" t="str">
        <f t="shared" si="4"/>
        <v>Pass</v>
      </c>
      <c r="I13" s="22" t="str">
        <f t="shared" si="4"/>
        <v>Pass</v>
      </c>
      <c r="J13" s="22" t="str">
        <f t="shared" si="4"/>
        <v>Pass</v>
      </c>
      <c r="K13" s="22" t="str">
        <f t="shared" si="4"/>
        <v>Pass</v>
      </c>
      <c r="L13" s="22" t="str">
        <f t="shared" si="4"/>
        <v>Fail</v>
      </c>
      <c r="M13" s="22" t="str">
        <f t="shared" si="4"/>
        <v>Pass</v>
      </c>
      <c r="N13" s="22" t="str">
        <f t="shared" si="4"/>
        <v>Pass</v>
      </c>
      <c r="O13" s="22" t="str">
        <f t="shared" si="4"/>
        <v>Pass</v>
      </c>
      <c r="P13" s="22" t="str">
        <f t="shared" si="4"/>
        <v>Fail</v>
      </c>
      <c r="Q13" s="22" t="str">
        <f t="shared" si="4"/>
        <v>Fail</v>
      </c>
      <c r="R13" s="22" t="str">
        <f t="shared" si="4"/>
        <v>Pass</v>
      </c>
      <c r="S13" s="22" t="str">
        <f t="shared" si="4"/>
        <v>Pass</v>
      </c>
      <c r="T13" s="22" t="str">
        <f t="shared" si="4"/>
        <v>Pass</v>
      </c>
      <c r="U13" s="22" t="str">
        <f t="shared" si="4"/>
        <v>Pass</v>
      </c>
      <c r="V13" s="22" t="str">
        <f t="shared" si="4"/>
        <v>Pass</v>
      </c>
      <c r="W13" s="22" t="str">
        <f t="shared" si="4"/>
        <v>Pass</v>
      </c>
      <c r="X13" s="22" t="str">
        <f t="shared" si="4"/>
        <v>Fail</v>
      </c>
      <c r="Y13" s="22" t="str">
        <f t="shared" si="4"/>
        <v>Pass</v>
      </c>
      <c r="Z13" s="22" t="str">
        <f t="shared" si="4"/>
        <v>Fail</v>
      </c>
      <c r="AA13" s="22" t="str">
        <f t="shared" si="4"/>
        <v>Fail</v>
      </c>
      <c r="AB13" s="22" t="str">
        <f t="shared" si="4"/>
        <v>Fail</v>
      </c>
      <c r="AC13" s="22" t="str">
        <f t="shared" si="4"/>
        <v>Fail</v>
      </c>
      <c r="AD13" s="22" t="str">
        <f t="shared" si="4"/>
        <v>Pass</v>
      </c>
      <c r="AE13" s="22" t="str">
        <f t="shared" si="4"/>
        <v>Pass</v>
      </c>
    </row>
    <row r="14" spans="1:31" x14ac:dyDescent="0.3">
      <c r="A14" s="27" t="s">
        <v>24</v>
      </c>
      <c r="B14" s="22" t="str">
        <f t="shared" ref="B14:AE14" si="5">IF(B12&lt;35,"Fail",IF(B12&lt;60,"Pass",IF(B12&lt;75,"First class","Disctinction")))</f>
        <v>Fail</v>
      </c>
      <c r="C14" s="22" t="str">
        <f t="shared" si="5"/>
        <v>Pass</v>
      </c>
      <c r="D14" s="22" t="str">
        <f t="shared" si="5"/>
        <v>Pass</v>
      </c>
      <c r="E14" s="22" t="str">
        <f t="shared" si="5"/>
        <v>Disctinction</v>
      </c>
      <c r="F14" s="22" t="str">
        <f t="shared" si="5"/>
        <v>Fail</v>
      </c>
      <c r="G14" s="22" t="str">
        <f t="shared" si="5"/>
        <v>Disctinction</v>
      </c>
      <c r="H14" s="22" t="str">
        <f t="shared" si="5"/>
        <v>Pass</v>
      </c>
      <c r="I14" s="22" t="str">
        <f t="shared" si="5"/>
        <v>Pass</v>
      </c>
      <c r="J14" s="22" t="str">
        <f t="shared" si="5"/>
        <v>Pass</v>
      </c>
      <c r="K14" s="22" t="str">
        <f t="shared" si="5"/>
        <v>First class</v>
      </c>
      <c r="L14" s="22" t="str">
        <f t="shared" si="5"/>
        <v>Fail</v>
      </c>
      <c r="M14" s="22" t="str">
        <f t="shared" si="5"/>
        <v>First class</v>
      </c>
      <c r="N14" s="22" t="str">
        <f t="shared" si="5"/>
        <v>First class</v>
      </c>
      <c r="O14" s="22" t="str">
        <f t="shared" si="5"/>
        <v>Pass</v>
      </c>
      <c r="P14" s="22" t="str">
        <f t="shared" si="5"/>
        <v>Fail</v>
      </c>
      <c r="Q14" s="22" t="str">
        <f t="shared" si="5"/>
        <v>Fail</v>
      </c>
      <c r="R14" s="22" t="str">
        <f t="shared" si="5"/>
        <v>First class</v>
      </c>
      <c r="S14" s="22" t="str">
        <f t="shared" si="5"/>
        <v>Disctinction</v>
      </c>
      <c r="T14" s="22" t="str">
        <f t="shared" si="5"/>
        <v>Disctinction</v>
      </c>
      <c r="U14" s="22" t="str">
        <f t="shared" si="5"/>
        <v>First class</v>
      </c>
      <c r="V14" s="22" t="str">
        <f t="shared" si="5"/>
        <v>First class</v>
      </c>
      <c r="W14" s="22" t="str">
        <f t="shared" si="5"/>
        <v>Pass</v>
      </c>
      <c r="X14" s="22" t="str">
        <f t="shared" si="5"/>
        <v>Fail</v>
      </c>
      <c r="Y14" s="22" t="str">
        <f t="shared" si="5"/>
        <v>Disctinction</v>
      </c>
      <c r="Z14" s="22" t="str">
        <f t="shared" si="5"/>
        <v>Fail</v>
      </c>
      <c r="AA14" s="22" t="str">
        <f t="shared" si="5"/>
        <v>Fail</v>
      </c>
      <c r="AB14" s="22" t="str">
        <f t="shared" si="5"/>
        <v>Fail</v>
      </c>
      <c r="AC14" s="22" t="str">
        <f t="shared" si="5"/>
        <v>Fail</v>
      </c>
      <c r="AD14" s="22" t="str">
        <f t="shared" si="5"/>
        <v>Disctinction</v>
      </c>
      <c r="AE14" s="22" t="str">
        <f t="shared" si="5"/>
        <v>Disctinction</v>
      </c>
    </row>
    <row r="15" spans="1:31" x14ac:dyDescent="0.3">
      <c r="A15" s="27" t="s">
        <v>4</v>
      </c>
      <c r="B15" s="24">
        <f t="shared" ref="B15:K15" ca="1" si="6">TODAY()</f>
        <v>45925</v>
      </c>
      <c r="C15" s="24">
        <f t="shared" ca="1" si="6"/>
        <v>45925</v>
      </c>
      <c r="D15" s="24">
        <f t="shared" ca="1" si="6"/>
        <v>45925</v>
      </c>
      <c r="E15" s="24">
        <f t="shared" ca="1" si="6"/>
        <v>45925</v>
      </c>
      <c r="F15" s="24">
        <f t="shared" ca="1" si="6"/>
        <v>45925</v>
      </c>
      <c r="G15" s="24">
        <f t="shared" ca="1" si="6"/>
        <v>45925</v>
      </c>
      <c r="H15" s="24">
        <f t="shared" ca="1" si="6"/>
        <v>45925</v>
      </c>
      <c r="I15" s="24">
        <f t="shared" ca="1" si="6"/>
        <v>45925</v>
      </c>
      <c r="J15" s="24">
        <f t="shared" ca="1" si="6"/>
        <v>45925</v>
      </c>
      <c r="K15" s="24">
        <f t="shared" ca="1" si="6"/>
        <v>45925</v>
      </c>
      <c r="L15" s="25">
        <f t="shared" ref="L15:AE15" ca="1" si="7">B15-1</f>
        <v>45924</v>
      </c>
      <c r="M15" s="25">
        <f t="shared" ca="1" si="7"/>
        <v>45924</v>
      </c>
      <c r="N15" s="25">
        <f t="shared" ca="1" si="7"/>
        <v>45924</v>
      </c>
      <c r="O15" s="25">
        <f t="shared" ca="1" si="7"/>
        <v>45924</v>
      </c>
      <c r="P15" s="25">
        <f t="shared" ca="1" si="7"/>
        <v>45924</v>
      </c>
      <c r="Q15" s="25">
        <f t="shared" ca="1" si="7"/>
        <v>45924</v>
      </c>
      <c r="R15" s="25">
        <f t="shared" ca="1" si="7"/>
        <v>45924</v>
      </c>
      <c r="S15" s="25">
        <f t="shared" ca="1" si="7"/>
        <v>45924</v>
      </c>
      <c r="T15" s="25">
        <f t="shared" ca="1" si="7"/>
        <v>45924</v>
      </c>
      <c r="U15" s="25">
        <f t="shared" ca="1" si="7"/>
        <v>45924</v>
      </c>
      <c r="V15" s="24">
        <f t="shared" ca="1" si="7"/>
        <v>45923</v>
      </c>
      <c r="W15" s="24">
        <f t="shared" ca="1" si="7"/>
        <v>45923</v>
      </c>
      <c r="X15" s="24">
        <f t="shared" ca="1" si="7"/>
        <v>45923</v>
      </c>
      <c r="Y15" s="24">
        <f t="shared" ca="1" si="7"/>
        <v>45923</v>
      </c>
      <c r="Z15" s="24">
        <f t="shared" ca="1" si="7"/>
        <v>45923</v>
      </c>
      <c r="AA15" s="24">
        <f t="shared" ca="1" si="7"/>
        <v>45923</v>
      </c>
      <c r="AB15" s="24">
        <f t="shared" ca="1" si="7"/>
        <v>45923</v>
      </c>
      <c r="AC15" s="24">
        <f t="shared" ca="1" si="7"/>
        <v>45923</v>
      </c>
      <c r="AD15" s="24">
        <f t="shared" ca="1" si="7"/>
        <v>45923</v>
      </c>
      <c r="AE15" s="24">
        <f t="shared" ca="1" si="7"/>
        <v>45923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F3EC-36E1-408C-B73F-87C39D7002A3}">
  <dimension ref="A3:D8"/>
  <sheetViews>
    <sheetView workbookViewId="0">
      <selection activeCell="D6" sqref="D6"/>
    </sheetView>
  </sheetViews>
  <sheetFormatPr defaultRowHeight="14.4" x14ac:dyDescent="0.3"/>
  <cols>
    <col min="1" max="1" width="14.77734375" bestFit="1" customWidth="1"/>
    <col min="2" max="2" width="15.21875" bestFit="1" customWidth="1"/>
    <col min="3" max="3" width="3.6640625" bestFit="1" customWidth="1"/>
    <col min="4" max="4" width="10.77734375" bestFit="1" customWidth="1"/>
  </cols>
  <sheetData>
    <row r="3" spans="1:4" x14ac:dyDescent="0.3">
      <c r="A3" s="4" t="s">
        <v>27</v>
      </c>
      <c r="B3" s="4" t="s">
        <v>18</v>
      </c>
    </row>
    <row r="4" spans="1:4" x14ac:dyDescent="0.3">
      <c r="A4" s="4" t="s">
        <v>16</v>
      </c>
      <c r="B4" t="s">
        <v>19</v>
      </c>
      <c r="C4" t="s">
        <v>20</v>
      </c>
      <c r="D4" t="s">
        <v>17</v>
      </c>
    </row>
    <row r="5" spans="1:4" x14ac:dyDescent="0.3">
      <c r="A5" s="5">
        <v>45510</v>
      </c>
      <c r="B5" s="17">
        <v>64.625</v>
      </c>
      <c r="C5" s="17">
        <v>20</v>
      </c>
      <c r="D5" s="17">
        <v>55.7</v>
      </c>
    </row>
    <row r="6" spans="1:4" x14ac:dyDescent="0.3">
      <c r="A6" s="5">
        <v>45509</v>
      </c>
      <c r="B6" s="17">
        <v>74.571428571428569</v>
      </c>
      <c r="C6" s="17">
        <v>16.333333333333332</v>
      </c>
      <c r="D6" s="17">
        <v>57.1</v>
      </c>
    </row>
    <row r="7" spans="1:4" x14ac:dyDescent="0.3">
      <c r="A7" s="5">
        <v>45508</v>
      </c>
      <c r="B7" s="17">
        <v>77.400000000000006</v>
      </c>
      <c r="C7" s="17">
        <v>23</v>
      </c>
      <c r="D7" s="17">
        <v>50.2</v>
      </c>
    </row>
    <row r="8" spans="1:4" x14ac:dyDescent="0.3">
      <c r="A8" s="5" t="s">
        <v>17</v>
      </c>
      <c r="B8" s="17">
        <v>71.3</v>
      </c>
      <c r="C8" s="17">
        <v>20.399999999999999</v>
      </c>
      <c r="D8" s="17">
        <v>54.333333333333336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A17F-7EC9-48E9-8F31-9E587ADAC8DC}">
  <dimension ref="A3:I6"/>
  <sheetViews>
    <sheetView workbookViewId="0">
      <selection activeCell="E12" sqref="E12"/>
    </sheetView>
  </sheetViews>
  <sheetFormatPr defaultRowHeight="14.4" x14ac:dyDescent="0.3"/>
  <sheetData>
    <row r="3" spans="1:9" x14ac:dyDescent="0.3">
      <c r="B3" t="s">
        <v>38</v>
      </c>
      <c r="C3" t="s">
        <v>39</v>
      </c>
      <c r="D3" t="s">
        <v>40</v>
      </c>
    </row>
    <row r="4" spans="1:9" x14ac:dyDescent="0.3">
      <c r="A4" t="s">
        <v>41</v>
      </c>
      <c r="B4" s="9">
        <f ca="1">RANDBETWEEN(1,100)</f>
        <v>87</v>
      </c>
      <c r="C4" s="9">
        <f t="shared" ref="C4:D4" ca="1" si="0">RANDBETWEEN(1,100)</f>
        <v>63</v>
      </c>
      <c r="D4" s="9">
        <f t="shared" ca="1" si="0"/>
        <v>87</v>
      </c>
      <c r="G4" s="9">
        <f t="array" aca="1" ref="G4:I6" ca="1">TRANSPOSE(B4:D6)</f>
        <v>87</v>
      </c>
      <c r="H4">
        <f ca="1"/>
        <v>79</v>
      </c>
      <c r="I4">
        <f ca="1"/>
        <v>46</v>
      </c>
    </row>
    <row r="5" spans="1:9" x14ac:dyDescent="0.3">
      <c r="A5" t="s">
        <v>42</v>
      </c>
      <c r="B5" s="12">
        <f t="shared" ref="B5:D6" ca="1" si="1">RANDBETWEEN(1,100)</f>
        <v>79</v>
      </c>
      <c r="C5" s="12">
        <f t="shared" ca="1" si="1"/>
        <v>31</v>
      </c>
      <c r="D5" s="12">
        <f t="shared" ca="1" si="1"/>
        <v>53</v>
      </c>
      <c r="G5" s="9">
        <f ca="1"/>
        <v>63</v>
      </c>
      <c r="H5">
        <f ca="1"/>
        <v>31</v>
      </c>
      <c r="I5">
        <f ca="1"/>
        <v>13</v>
      </c>
    </row>
    <row r="6" spans="1:9" x14ac:dyDescent="0.3">
      <c r="A6" t="s">
        <v>43</v>
      </c>
      <c r="B6" s="12">
        <f t="shared" ca="1" si="1"/>
        <v>46</v>
      </c>
      <c r="C6" s="12">
        <f t="shared" ca="1" si="1"/>
        <v>13</v>
      </c>
      <c r="D6" s="12">
        <f t="shared" ca="1" si="1"/>
        <v>36</v>
      </c>
      <c r="G6" s="9">
        <f ca="1"/>
        <v>87</v>
      </c>
      <c r="H6">
        <f ca="1"/>
        <v>53</v>
      </c>
      <c r="I6">
        <f ca="1"/>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E07A-671F-43D4-9AF4-36FD001C1FC9}">
  <dimension ref="A1:F6"/>
  <sheetViews>
    <sheetView workbookViewId="0">
      <selection activeCell="A3" sqref="A3"/>
    </sheetView>
  </sheetViews>
  <sheetFormatPr defaultRowHeight="14.4" x14ac:dyDescent="0.3"/>
  <cols>
    <col min="1" max="1" width="12.5546875" bestFit="1" customWidth="1"/>
    <col min="2" max="2" width="15.5546875" bestFit="1" customWidth="1"/>
    <col min="3" max="3" width="4.6640625" bestFit="1" customWidth="1"/>
    <col min="4" max="4" width="8.77734375" bestFit="1" customWidth="1"/>
    <col min="5" max="6" width="10.77734375" bestFit="1" customWidth="1"/>
  </cols>
  <sheetData>
    <row r="1" spans="1:6" x14ac:dyDescent="0.3">
      <c r="A1" s="4" t="s">
        <v>15</v>
      </c>
      <c r="B1" s="4" t="s">
        <v>18</v>
      </c>
    </row>
    <row r="2" spans="1:6" x14ac:dyDescent="0.3">
      <c r="A2" s="4" t="s">
        <v>16</v>
      </c>
      <c r="B2" s="16" t="s">
        <v>20</v>
      </c>
      <c r="C2" s="16" t="s">
        <v>19</v>
      </c>
      <c r="D2" s="16" t="s">
        <v>46</v>
      </c>
      <c r="E2" s="16" t="s">
        <v>47</v>
      </c>
      <c r="F2" t="s">
        <v>17</v>
      </c>
    </row>
    <row r="3" spans="1:6" x14ac:dyDescent="0.3">
      <c r="A3" s="5">
        <v>45925</v>
      </c>
      <c r="B3" s="35">
        <v>40</v>
      </c>
      <c r="C3" s="35">
        <v>276</v>
      </c>
      <c r="D3" s="35">
        <v>72</v>
      </c>
      <c r="E3" s="35">
        <v>169</v>
      </c>
      <c r="F3" s="35">
        <v>557</v>
      </c>
    </row>
    <row r="4" spans="1:6" x14ac:dyDescent="0.3">
      <c r="A4" s="5">
        <v>45924</v>
      </c>
      <c r="B4" s="35">
        <v>49</v>
      </c>
      <c r="C4" s="35">
        <v>51</v>
      </c>
      <c r="D4" s="35">
        <v>288</v>
      </c>
      <c r="E4" s="35">
        <v>183</v>
      </c>
      <c r="F4" s="35">
        <v>571</v>
      </c>
    </row>
    <row r="5" spans="1:6" x14ac:dyDescent="0.3">
      <c r="A5" s="5">
        <v>45923</v>
      </c>
      <c r="B5" s="35">
        <v>115</v>
      </c>
      <c r="C5" s="35">
        <v>49</v>
      </c>
      <c r="D5" s="35">
        <v>69</v>
      </c>
      <c r="E5" s="35">
        <v>269</v>
      </c>
      <c r="F5" s="35">
        <v>502</v>
      </c>
    </row>
    <row r="6" spans="1:6" x14ac:dyDescent="0.3">
      <c r="A6" s="5" t="s">
        <v>17</v>
      </c>
      <c r="B6" s="35">
        <v>204</v>
      </c>
      <c r="C6" s="35">
        <v>376</v>
      </c>
      <c r="D6" s="35">
        <v>429</v>
      </c>
      <c r="E6" s="35">
        <v>621</v>
      </c>
      <c r="F6" s="35">
        <v>1630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8A03-DB13-4C99-B68C-B711D5FD9FB2}">
  <dimension ref="A1:L8"/>
  <sheetViews>
    <sheetView workbookViewId="0">
      <selection activeCell="G18" sqref="G18"/>
    </sheetView>
  </sheetViews>
  <sheetFormatPr defaultRowHeight="14.4" x14ac:dyDescent="0.3"/>
  <cols>
    <col min="1" max="1" width="12.33203125" bestFit="1" customWidth="1"/>
    <col min="2" max="2" width="15.21875" bestFit="1" customWidth="1"/>
    <col min="3" max="11" width="4.77734375" bestFit="1" customWidth="1"/>
    <col min="12" max="12" width="10.77734375" bestFit="1" customWidth="1"/>
  </cols>
  <sheetData>
    <row r="1" spans="1:12" x14ac:dyDescent="0.3">
      <c r="B1" t="s">
        <v>45</v>
      </c>
      <c r="C1" t="s">
        <v>44</v>
      </c>
    </row>
    <row r="3" spans="1:12" x14ac:dyDescent="0.3">
      <c r="A3" s="4" t="s">
        <v>15</v>
      </c>
      <c r="B3" s="4" t="s">
        <v>18</v>
      </c>
    </row>
    <row r="4" spans="1:12" x14ac:dyDescent="0.3">
      <c r="A4" s="4" t="s">
        <v>16</v>
      </c>
      <c r="B4">
        <v>1001</v>
      </c>
      <c r="C4">
        <v>1002</v>
      </c>
      <c r="D4">
        <v>1003</v>
      </c>
      <c r="E4">
        <v>1004</v>
      </c>
      <c r="F4">
        <v>1005</v>
      </c>
      <c r="G4">
        <v>1006</v>
      </c>
      <c r="H4">
        <v>1007</v>
      </c>
      <c r="I4">
        <v>1008</v>
      </c>
      <c r="J4">
        <v>1009</v>
      </c>
      <c r="K4">
        <v>1010</v>
      </c>
      <c r="L4" t="s">
        <v>17</v>
      </c>
    </row>
    <row r="5" spans="1:12" x14ac:dyDescent="0.3">
      <c r="A5" s="5">
        <v>45518</v>
      </c>
      <c r="B5" s="9">
        <v>69</v>
      </c>
      <c r="C5">
        <v>49</v>
      </c>
      <c r="D5">
        <v>32</v>
      </c>
      <c r="E5">
        <v>85</v>
      </c>
      <c r="F5">
        <v>8</v>
      </c>
      <c r="G5">
        <v>23</v>
      </c>
      <c r="H5">
        <v>22</v>
      </c>
      <c r="I5">
        <v>30</v>
      </c>
      <c r="J5">
        <v>98</v>
      </c>
      <c r="K5">
        <v>86</v>
      </c>
      <c r="L5">
        <v>502</v>
      </c>
    </row>
    <row r="6" spans="1:12" x14ac:dyDescent="0.3">
      <c r="A6" s="5">
        <v>45519</v>
      </c>
      <c r="B6" s="9">
        <v>12</v>
      </c>
      <c r="C6">
        <v>69</v>
      </c>
      <c r="D6">
        <v>74</v>
      </c>
      <c r="E6">
        <v>51</v>
      </c>
      <c r="F6">
        <v>22</v>
      </c>
      <c r="G6">
        <v>15</v>
      </c>
      <c r="H6">
        <v>74</v>
      </c>
      <c r="I6">
        <v>85</v>
      </c>
      <c r="J6">
        <v>98</v>
      </c>
      <c r="K6">
        <v>71</v>
      </c>
      <c r="L6">
        <v>571</v>
      </c>
    </row>
    <row r="7" spans="1:12" x14ac:dyDescent="0.3">
      <c r="A7" s="5">
        <v>45520</v>
      </c>
      <c r="B7" s="9">
        <v>7</v>
      </c>
      <c r="C7">
        <v>57</v>
      </c>
      <c r="D7">
        <v>51</v>
      </c>
      <c r="E7">
        <v>82</v>
      </c>
      <c r="F7">
        <v>33</v>
      </c>
      <c r="G7">
        <v>87</v>
      </c>
      <c r="H7">
        <v>54</v>
      </c>
      <c r="I7">
        <v>55</v>
      </c>
      <c r="J7">
        <v>59</v>
      </c>
      <c r="K7">
        <v>72</v>
      </c>
      <c r="L7">
        <v>557</v>
      </c>
    </row>
    <row r="8" spans="1:12" x14ac:dyDescent="0.3">
      <c r="A8" s="5" t="s">
        <v>17</v>
      </c>
      <c r="B8">
        <v>88</v>
      </c>
      <c r="C8">
        <v>175</v>
      </c>
      <c r="D8">
        <v>157</v>
      </c>
      <c r="E8">
        <v>218</v>
      </c>
      <c r="F8">
        <v>63</v>
      </c>
      <c r="G8">
        <v>125</v>
      </c>
      <c r="H8">
        <v>150</v>
      </c>
      <c r="I8">
        <v>170</v>
      </c>
      <c r="J8">
        <v>255</v>
      </c>
      <c r="K8">
        <v>229</v>
      </c>
      <c r="L8">
        <v>1630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B31A-1D88-459E-896E-89A16E9DD1E9}">
  <dimension ref="A3:B14"/>
  <sheetViews>
    <sheetView workbookViewId="0"/>
  </sheetViews>
  <sheetFormatPr defaultRowHeight="14.4" x14ac:dyDescent="0.3"/>
  <cols>
    <col min="1" max="1" width="12.33203125" bestFit="1" customWidth="1"/>
    <col min="2" max="2" width="11.5546875" bestFit="1" customWidth="1"/>
  </cols>
  <sheetData>
    <row r="3" spans="1:2" x14ac:dyDescent="0.3">
      <c r="A3" s="4" t="s">
        <v>16</v>
      </c>
      <c r="B3" t="s">
        <v>15</v>
      </c>
    </row>
    <row r="4" spans="1:2" x14ac:dyDescent="0.3">
      <c r="A4" s="13" t="s">
        <v>13</v>
      </c>
      <c r="B4">
        <v>255</v>
      </c>
    </row>
    <row r="5" spans="1:2" x14ac:dyDescent="0.3">
      <c r="A5" s="13" t="s">
        <v>14</v>
      </c>
      <c r="B5">
        <v>229</v>
      </c>
    </row>
    <row r="6" spans="1:2" x14ac:dyDescent="0.3">
      <c r="A6" s="13" t="s">
        <v>8</v>
      </c>
      <c r="B6">
        <v>218</v>
      </c>
    </row>
    <row r="7" spans="1:2" x14ac:dyDescent="0.3">
      <c r="A7" s="13" t="s">
        <v>6</v>
      </c>
      <c r="B7">
        <v>175</v>
      </c>
    </row>
    <row r="8" spans="1:2" x14ac:dyDescent="0.3">
      <c r="A8" s="13" t="s">
        <v>12</v>
      </c>
      <c r="B8">
        <v>170</v>
      </c>
    </row>
    <row r="9" spans="1:2" x14ac:dyDescent="0.3">
      <c r="A9" s="13" t="s">
        <v>7</v>
      </c>
      <c r="B9">
        <v>157</v>
      </c>
    </row>
    <row r="10" spans="1:2" x14ac:dyDescent="0.3">
      <c r="A10" s="13" t="s">
        <v>11</v>
      </c>
      <c r="B10">
        <v>150</v>
      </c>
    </row>
    <row r="11" spans="1:2" x14ac:dyDescent="0.3">
      <c r="A11" s="13" t="s">
        <v>10</v>
      </c>
      <c r="B11">
        <v>125</v>
      </c>
    </row>
    <row r="12" spans="1:2" x14ac:dyDescent="0.3">
      <c r="A12" s="13" t="s">
        <v>5</v>
      </c>
      <c r="B12">
        <v>88</v>
      </c>
    </row>
    <row r="13" spans="1:2" x14ac:dyDescent="0.3">
      <c r="A13" s="13" t="s">
        <v>9</v>
      </c>
      <c r="B13">
        <v>63</v>
      </c>
    </row>
    <row r="14" spans="1:2" x14ac:dyDescent="0.3">
      <c r="A14" s="13" t="s">
        <v>17</v>
      </c>
      <c r="B14">
        <v>1630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C0BB-0819-410E-8CBF-D4848D6AAC7D}">
  <dimension ref="A1:I16"/>
  <sheetViews>
    <sheetView workbookViewId="0">
      <selection activeCell="G18" sqref="G18"/>
    </sheetView>
  </sheetViews>
  <sheetFormatPr defaultRowHeight="14.4" x14ac:dyDescent="0.3"/>
  <cols>
    <col min="1" max="1" width="12.33203125" bestFit="1" customWidth="1"/>
    <col min="2" max="2" width="15.21875" bestFit="1" customWidth="1"/>
    <col min="3" max="3" width="23.21875" bestFit="1" customWidth="1"/>
    <col min="4" max="4" width="11.5546875" bestFit="1" customWidth="1"/>
    <col min="5" max="5" width="23.21875" bestFit="1" customWidth="1"/>
    <col min="6" max="6" width="11.5546875" bestFit="1" customWidth="1"/>
    <col min="7" max="7" width="23.21875" bestFit="1" customWidth="1"/>
    <col min="8" max="8" width="16.33203125" bestFit="1" customWidth="1"/>
    <col min="9" max="9" width="28.109375" bestFit="1" customWidth="1"/>
    <col min="10" max="10" width="11.5546875" bestFit="1" customWidth="1"/>
    <col min="11" max="11" width="23.21875" bestFit="1" customWidth="1"/>
    <col min="12" max="12" width="18" bestFit="1" customWidth="1"/>
    <col min="13" max="13" width="29.77734375" bestFit="1" customWidth="1"/>
    <col min="14" max="14" width="15.21875" bestFit="1" customWidth="1"/>
    <col min="15" max="15" width="27" bestFit="1" customWidth="1"/>
    <col min="16" max="16" width="16.109375" bestFit="1" customWidth="1"/>
    <col min="17" max="17" width="27.77734375" bestFit="1" customWidth="1"/>
    <col min="18" max="18" width="16.33203125" bestFit="1" customWidth="1"/>
    <col min="19" max="19" width="28.109375" bestFit="1" customWidth="1"/>
    <col min="20" max="20" width="16.33203125" bestFit="1" customWidth="1"/>
    <col min="21" max="21" width="28.109375" bestFit="1" customWidth="1"/>
  </cols>
  <sheetData>
    <row r="1" spans="1:9" x14ac:dyDescent="0.3">
      <c r="D1" t="s">
        <v>34</v>
      </c>
    </row>
    <row r="3" spans="1:9" x14ac:dyDescent="0.3">
      <c r="B3" s="4" t="s">
        <v>18</v>
      </c>
    </row>
    <row r="4" spans="1:9" x14ac:dyDescent="0.3">
      <c r="B4" s="1">
        <v>45518</v>
      </c>
      <c r="D4" s="1">
        <v>45519</v>
      </c>
      <c r="F4" s="1">
        <v>45520</v>
      </c>
      <c r="H4" s="1" t="s">
        <v>35</v>
      </c>
      <c r="I4" s="1" t="s">
        <v>36</v>
      </c>
    </row>
    <row r="5" spans="1:9" x14ac:dyDescent="0.3">
      <c r="A5" s="4" t="s">
        <v>16</v>
      </c>
      <c r="B5" t="s">
        <v>15</v>
      </c>
      <c r="C5" t="s">
        <v>37</v>
      </c>
      <c r="D5" t="s">
        <v>15</v>
      </c>
      <c r="E5" t="s">
        <v>37</v>
      </c>
      <c r="F5" t="s">
        <v>15</v>
      </c>
      <c r="G5" t="s">
        <v>37</v>
      </c>
    </row>
    <row r="6" spans="1:9" x14ac:dyDescent="0.3">
      <c r="A6" s="13" t="s">
        <v>5</v>
      </c>
      <c r="B6">
        <v>69</v>
      </c>
      <c r="C6">
        <v>74</v>
      </c>
      <c r="D6">
        <v>12</v>
      </c>
      <c r="E6">
        <v>17</v>
      </c>
      <c r="F6">
        <v>7</v>
      </c>
      <c r="G6">
        <v>12</v>
      </c>
      <c r="H6">
        <v>88</v>
      </c>
      <c r="I6">
        <v>93</v>
      </c>
    </row>
    <row r="7" spans="1:9" x14ac:dyDescent="0.3">
      <c r="A7" s="13" t="s">
        <v>6</v>
      </c>
      <c r="B7">
        <v>49</v>
      </c>
      <c r="C7">
        <v>54</v>
      </c>
      <c r="D7">
        <v>69</v>
      </c>
      <c r="E7">
        <v>74</v>
      </c>
      <c r="F7">
        <v>57</v>
      </c>
      <c r="G7">
        <v>62</v>
      </c>
      <c r="H7">
        <v>175</v>
      </c>
      <c r="I7">
        <v>180</v>
      </c>
    </row>
    <row r="8" spans="1:9" x14ac:dyDescent="0.3">
      <c r="A8" s="13" t="s">
        <v>7</v>
      </c>
      <c r="B8">
        <v>32</v>
      </c>
      <c r="C8">
        <v>37</v>
      </c>
      <c r="D8">
        <v>74</v>
      </c>
      <c r="E8">
        <v>79</v>
      </c>
      <c r="F8">
        <v>51</v>
      </c>
      <c r="G8">
        <v>56</v>
      </c>
      <c r="H8">
        <v>157</v>
      </c>
      <c r="I8">
        <v>162</v>
      </c>
    </row>
    <row r="9" spans="1:9" x14ac:dyDescent="0.3">
      <c r="A9" s="13" t="s">
        <v>8</v>
      </c>
      <c r="B9">
        <v>85</v>
      </c>
      <c r="C9">
        <v>90</v>
      </c>
      <c r="D9">
        <v>51</v>
      </c>
      <c r="E9">
        <v>56</v>
      </c>
      <c r="F9">
        <v>82</v>
      </c>
      <c r="G9">
        <v>87</v>
      </c>
      <c r="H9">
        <v>218</v>
      </c>
      <c r="I9">
        <v>223</v>
      </c>
    </row>
    <row r="10" spans="1:9" x14ac:dyDescent="0.3">
      <c r="A10" s="13" t="s">
        <v>9</v>
      </c>
      <c r="B10">
        <v>8</v>
      </c>
      <c r="C10">
        <v>13</v>
      </c>
      <c r="D10">
        <v>22</v>
      </c>
      <c r="E10">
        <v>27</v>
      </c>
      <c r="F10">
        <v>33</v>
      </c>
      <c r="G10">
        <v>38</v>
      </c>
      <c r="H10">
        <v>63</v>
      </c>
      <c r="I10">
        <v>68</v>
      </c>
    </row>
    <row r="11" spans="1:9" x14ac:dyDescent="0.3">
      <c r="A11" s="13" t="s">
        <v>10</v>
      </c>
      <c r="B11">
        <v>23</v>
      </c>
      <c r="C11">
        <v>28</v>
      </c>
      <c r="D11">
        <v>15</v>
      </c>
      <c r="E11">
        <v>20</v>
      </c>
      <c r="F11">
        <v>87</v>
      </c>
      <c r="G11">
        <v>92</v>
      </c>
      <c r="H11">
        <v>125</v>
      </c>
      <c r="I11">
        <v>130</v>
      </c>
    </row>
    <row r="12" spans="1:9" x14ac:dyDescent="0.3">
      <c r="A12" s="13" t="s">
        <v>11</v>
      </c>
      <c r="B12">
        <v>22</v>
      </c>
      <c r="C12">
        <v>27</v>
      </c>
      <c r="D12">
        <v>74</v>
      </c>
      <c r="E12">
        <v>79</v>
      </c>
      <c r="F12">
        <v>54</v>
      </c>
      <c r="G12">
        <v>59</v>
      </c>
      <c r="H12">
        <v>150</v>
      </c>
      <c r="I12">
        <v>155</v>
      </c>
    </row>
    <row r="13" spans="1:9" x14ac:dyDescent="0.3">
      <c r="A13" s="13" t="s">
        <v>12</v>
      </c>
      <c r="B13">
        <v>30</v>
      </c>
      <c r="C13">
        <v>35</v>
      </c>
      <c r="D13">
        <v>85</v>
      </c>
      <c r="E13">
        <v>90</v>
      </c>
      <c r="F13">
        <v>55</v>
      </c>
      <c r="G13">
        <v>60</v>
      </c>
      <c r="H13">
        <v>170</v>
      </c>
      <c r="I13">
        <v>175</v>
      </c>
    </row>
    <row r="14" spans="1:9" x14ac:dyDescent="0.3">
      <c r="A14" s="13" t="s">
        <v>13</v>
      </c>
      <c r="B14">
        <v>98</v>
      </c>
      <c r="C14">
        <v>103</v>
      </c>
      <c r="D14">
        <v>98</v>
      </c>
      <c r="E14">
        <v>103</v>
      </c>
      <c r="F14">
        <v>59</v>
      </c>
      <c r="G14">
        <v>64</v>
      </c>
      <c r="H14">
        <v>255</v>
      </c>
      <c r="I14">
        <v>260</v>
      </c>
    </row>
    <row r="15" spans="1:9" x14ac:dyDescent="0.3">
      <c r="A15" s="13" t="s">
        <v>14</v>
      </c>
      <c r="B15">
        <v>86</v>
      </c>
      <c r="C15">
        <v>91</v>
      </c>
      <c r="D15">
        <v>71</v>
      </c>
      <c r="E15">
        <v>76</v>
      </c>
      <c r="F15">
        <v>72</v>
      </c>
      <c r="G15">
        <v>77</v>
      </c>
      <c r="H15">
        <v>229</v>
      </c>
      <c r="I15">
        <v>234</v>
      </c>
    </row>
    <row r="16" spans="1:9" x14ac:dyDescent="0.3">
      <c r="A16" s="13" t="s">
        <v>17</v>
      </c>
      <c r="B16">
        <v>502</v>
      </c>
      <c r="C16">
        <v>507</v>
      </c>
      <c r="D16">
        <v>571</v>
      </c>
      <c r="E16">
        <v>576</v>
      </c>
      <c r="F16">
        <v>557</v>
      </c>
      <c r="G16">
        <v>562</v>
      </c>
      <c r="H16">
        <v>1630</v>
      </c>
      <c r="I16">
        <v>1635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7CA5-9DC0-4B75-9154-BB9A0F5F0707}">
  <dimension ref="A1:K31"/>
  <sheetViews>
    <sheetView tabSelected="1" workbookViewId="0">
      <selection activeCell="K10" sqref="K10"/>
    </sheetView>
  </sheetViews>
  <sheetFormatPr defaultRowHeight="14.4" x14ac:dyDescent="0.3"/>
  <cols>
    <col min="6" max="6" width="10.109375" bestFit="1" customWidth="1"/>
    <col min="8" max="8" width="12.33203125" bestFit="1" customWidth="1"/>
    <col min="9" max="9" width="16.44140625" bestFit="1" customWidth="1"/>
    <col min="10" max="10" width="4.77734375" bestFit="1" customWidth="1"/>
    <col min="11" max="11" width="10.77734375" bestFit="1" customWidth="1"/>
  </cols>
  <sheetData>
    <row r="1" spans="1:11" ht="19.5" customHeight="1" x14ac:dyDescent="0.3">
      <c r="A1" s="27" t="s">
        <v>0</v>
      </c>
      <c r="B1" s="27" t="s">
        <v>1</v>
      </c>
      <c r="C1" s="27" t="s">
        <v>2</v>
      </c>
      <c r="D1" s="27" t="s">
        <v>3</v>
      </c>
      <c r="E1" s="27" t="s">
        <v>24</v>
      </c>
      <c r="F1" s="27" t="s">
        <v>4</v>
      </c>
      <c r="H1" s="4" t="s">
        <v>24</v>
      </c>
      <c r="I1" t="s">
        <v>33</v>
      </c>
    </row>
    <row r="2" spans="1:11" x14ac:dyDescent="0.3">
      <c r="A2" s="16">
        <v>1001</v>
      </c>
      <c r="B2" s="16" t="s">
        <v>5</v>
      </c>
      <c r="C2" s="11">
        <v>7</v>
      </c>
      <c r="D2" t="str">
        <f>IF(C2&lt;35,"Fail","Pass")</f>
        <v>Fail</v>
      </c>
      <c r="E2" t="str">
        <f>IF(C2&lt;35,"Fail",IF(C2&lt;60,"Pass",IF(C2&lt;75,"First class","Disctinction")))</f>
        <v>Fail</v>
      </c>
      <c r="F2" s="1">
        <f ca="1">TODAY()</f>
        <v>45925</v>
      </c>
    </row>
    <row r="3" spans="1:11" x14ac:dyDescent="0.3">
      <c r="A3" s="16">
        <v>1002</v>
      </c>
      <c r="B3" s="16" t="s">
        <v>6</v>
      </c>
      <c r="C3">
        <v>57</v>
      </c>
      <c r="D3" t="str">
        <f t="shared" ref="D3:D31" si="0">IF(C3&lt;35,"Fail","Pass")</f>
        <v>Pass</v>
      </c>
      <c r="E3" t="str">
        <f t="shared" ref="E3:E31" si="1">IF(C3&lt;35,"Fail",IF(C3&lt;60,"Pass",IF(C3&lt;75,"First class","Disctinction")))</f>
        <v>Pass</v>
      </c>
      <c r="F3" s="1">
        <f t="shared" ref="F3:F11" ca="1" si="2">TODAY()</f>
        <v>45925</v>
      </c>
      <c r="H3" s="4" t="s">
        <v>15</v>
      </c>
      <c r="I3" s="4" t="s">
        <v>18</v>
      </c>
    </row>
    <row r="4" spans="1:11" x14ac:dyDescent="0.3">
      <c r="A4" s="16">
        <v>1003</v>
      </c>
      <c r="B4" s="16" t="s">
        <v>7</v>
      </c>
      <c r="C4">
        <v>51</v>
      </c>
      <c r="D4" t="str">
        <f t="shared" si="0"/>
        <v>Pass</v>
      </c>
      <c r="E4" t="str">
        <f t="shared" si="1"/>
        <v>Pass</v>
      </c>
      <c r="F4" s="1">
        <f t="shared" ca="1" si="2"/>
        <v>45925</v>
      </c>
      <c r="H4" s="4" t="s">
        <v>16</v>
      </c>
      <c r="I4" t="s">
        <v>20</v>
      </c>
      <c r="J4" t="s">
        <v>19</v>
      </c>
      <c r="K4" t="s">
        <v>17</v>
      </c>
    </row>
    <row r="5" spans="1:11" x14ac:dyDescent="0.3">
      <c r="A5" s="16">
        <v>1004</v>
      </c>
      <c r="B5" s="16" t="s">
        <v>8</v>
      </c>
      <c r="C5">
        <v>82</v>
      </c>
      <c r="D5" t="str">
        <f t="shared" si="0"/>
        <v>Pass</v>
      </c>
      <c r="E5" t="str">
        <f t="shared" si="1"/>
        <v>Disctinction</v>
      </c>
      <c r="F5" s="1">
        <f t="shared" ca="1" si="2"/>
        <v>45925</v>
      </c>
      <c r="H5" s="5">
        <v>45518</v>
      </c>
      <c r="I5">
        <v>115</v>
      </c>
      <c r="J5">
        <v>338</v>
      </c>
      <c r="K5">
        <v>453</v>
      </c>
    </row>
    <row r="6" spans="1:11" x14ac:dyDescent="0.3">
      <c r="A6" s="16">
        <v>1005</v>
      </c>
      <c r="B6" s="16" t="s">
        <v>9</v>
      </c>
      <c r="C6">
        <v>33</v>
      </c>
      <c r="D6" t="str">
        <f t="shared" si="0"/>
        <v>Fail</v>
      </c>
      <c r="E6" t="str">
        <f t="shared" si="1"/>
        <v>Fail</v>
      </c>
      <c r="F6" s="1">
        <f t="shared" ca="1" si="2"/>
        <v>45925</v>
      </c>
      <c r="H6" s="5">
        <v>45519</v>
      </c>
      <c r="I6">
        <v>49</v>
      </c>
      <c r="J6">
        <v>471</v>
      </c>
      <c r="K6">
        <v>520</v>
      </c>
    </row>
    <row r="7" spans="1:11" x14ac:dyDescent="0.3">
      <c r="A7" s="16">
        <v>1006</v>
      </c>
      <c r="B7" s="16" t="s">
        <v>10</v>
      </c>
      <c r="C7">
        <v>87</v>
      </c>
      <c r="D7" t="str">
        <f t="shared" si="0"/>
        <v>Pass</v>
      </c>
      <c r="E7" t="str">
        <f t="shared" si="1"/>
        <v>Disctinction</v>
      </c>
      <c r="F7" s="1">
        <f t="shared" ca="1" si="2"/>
        <v>45925</v>
      </c>
      <c r="H7" s="5">
        <v>45520</v>
      </c>
      <c r="I7">
        <v>40</v>
      </c>
      <c r="J7">
        <v>241</v>
      </c>
      <c r="K7">
        <v>281</v>
      </c>
    </row>
    <row r="8" spans="1:11" x14ac:dyDescent="0.3">
      <c r="A8" s="16">
        <v>1007</v>
      </c>
      <c r="B8" s="16" t="s">
        <v>11</v>
      </c>
      <c r="C8">
        <v>54</v>
      </c>
      <c r="D8" t="str">
        <f t="shared" si="0"/>
        <v>Pass</v>
      </c>
      <c r="E8" t="str">
        <f t="shared" si="1"/>
        <v>Pass</v>
      </c>
      <c r="F8" s="1">
        <f t="shared" ca="1" si="2"/>
        <v>45925</v>
      </c>
      <c r="H8" s="5" t="s">
        <v>17</v>
      </c>
      <c r="I8">
        <v>204</v>
      </c>
      <c r="J8">
        <v>1050</v>
      </c>
      <c r="K8">
        <v>1254</v>
      </c>
    </row>
    <row r="9" spans="1:11" x14ac:dyDescent="0.3">
      <c r="A9" s="16">
        <v>1008</v>
      </c>
      <c r="B9" s="16" t="s">
        <v>12</v>
      </c>
      <c r="C9">
        <v>55</v>
      </c>
      <c r="D9" t="str">
        <f t="shared" si="0"/>
        <v>Pass</v>
      </c>
      <c r="E9" t="str">
        <f t="shared" si="1"/>
        <v>Pass</v>
      </c>
      <c r="F9" s="1">
        <f t="shared" ca="1" si="2"/>
        <v>45925</v>
      </c>
    </row>
    <row r="10" spans="1:11" x14ac:dyDescent="0.3">
      <c r="A10" s="16">
        <v>1009</v>
      </c>
      <c r="B10" s="16" t="s">
        <v>13</v>
      </c>
      <c r="C10">
        <v>59</v>
      </c>
      <c r="D10" t="str">
        <f t="shared" si="0"/>
        <v>Pass</v>
      </c>
      <c r="E10" t="str">
        <f t="shared" si="1"/>
        <v>Pass</v>
      </c>
      <c r="F10" s="1">
        <f t="shared" ca="1" si="2"/>
        <v>45925</v>
      </c>
      <c r="K10">
        <v>1254</v>
      </c>
    </row>
    <row r="11" spans="1:11" x14ac:dyDescent="0.3">
      <c r="A11" s="16">
        <v>1010</v>
      </c>
      <c r="B11" s="16" t="s">
        <v>14</v>
      </c>
      <c r="C11">
        <v>72</v>
      </c>
      <c r="D11" t="str">
        <f t="shared" si="0"/>
        <v>Pass</v>
      </c>
      <c r="E11" t="str">
        <f t="shared" si="1"/>
        <v>First class</v>
      </c>
      <c r="F11" s="1">
        <f t="shared" ca="1" si="2"/>
        <v>45925</v>
      </c>
      <c r="K11">
        <v>376</v>
      </c>
    </row>
    <row r="12" spans="1:11" x14ac:dyDescent="0.3">
      <c r="A12">
        <v>1001</v>
      </c>
      <c r="B12" t="s">
        <v>5</v>
      </c>
      <c r="C12" s="11">
        <v>12</v>
      </c>
      <c r="D12" t="str">
        <f t="shared" si="0"/>
        <v>Fail</v>
      </c>
      <c r="E12" t="str">
        <f t="shared" si="1"/>
        <v>Fail</v>
      </c>
      <c r="F12" s="2">
        <f ca="1">F2-1</f>
        <v>45924</v>
      </c>
    </row>
    <row r="13" spans="1:11" x14ac:dyDescent="0.3">
      <c r="A13">
        <v>1002</v>
      </c>
      <c r="B13" t="s">
        <v>6</v>
      </c>
      <c r="C13">
        <v>69</v>
      </c>
      <c r="D13" t="str">
        <f t="shared" si="0"/>
        <v>Pass</v>
      </c>
      <c r="E13" t="str">
        <f t="shared" si="1"/>
        <v>First class</v>
      </c>
      <c r="F13" s="2">
        <f t="shared" ref="F13:F31" ca="1" si="3">F3-1</f>
        <v>45924</v>
      </c>
      <c r="K13">
        <f>SUM(K10:K12)</f>
        <v>1630</v>
      </c>
    </row>
    <row r="14" spans="1:11" x14ac:dyDescent="0.3">
      <c r="A14">
        <v>1003</v>
      </c>
      <c r="B14" t="s">
        <v>7</v>
      </c>
      <c r="C14">
        <v>74</v>
      </c>
      <c r="D14" t="str">
        <f t="shared" si="0"/>
        <v>Pass</v>
      </c>
      <c r="E14" t="str">
        <f t="shared" si="1"/>
        <v>First class</v>
      </c>
      <c r="F14" s="2">
        <f t="shared" ca="1" si="3"/>
        <v>45924</v>
      </c>
    </row>
    <row r="15" spans="1:11" x14ac:dyDescent="0.3">
      <c r="A15">
        <v>1004</v>
      </c>
      <c r="B15" t="s">
        <v>8</v>
      </c>
      <c r="C15">
        <v>51</v>
      </c>
      <c r="D15" t="str">
        <f t="shared" si="0"/>
        <v>Pass</v>
      </c>
      <c r="E15" t="str">
        <f t="shared" si="1"/>
        <v>Pass</v>
      </c>
      <c r="F15" s="2">
        <f t="shared" ca="1" si="3"/>
        <v>45924</v>
      </c>
    </row>
    <row r="16" spans="1:11" x14ac:dyDescent="0.3">
      <c r="A16">
        <v>1005</v>
      </c>
      <c r="B16" t="s">
        <v>9</v>
      </c>
      <c r="C16">
        <v>22</v>
      </c>
      <c r="D16" t="str">
        <f t="shared" si="0"/>
        <v>Fail</v>
      </c>
      <c r="E16" t="str">
        <f t="shared" si="1"/>
        <v>Fail</v>
      </c>
      <c r="F16" s="2">
        <f t="shared" ca="1" si="3"/>
        <v>45924</v>
      </c>
    </row>
    <row r="17" spans="1:6" x14ac:dyDescent="0.3">
      <c r="A17">
        <v>1006</v>
      </c>
      <c r="B17" t="s">
        <v>10</v>
      </c>
      <c r="C17">
        <v>15</v>
      </c>
      <c r="D17" t="str">
        <f t="shared" si="0"/>
        <v>Fail</v>
      </c>
      <c r="E17" t="str">
        <f t="shared" si="1"/>
        <v>Fail</v>
      </c>
      <c r="F17" s="2">
        <f t="shared" ca="1" si="3"/>
        <v>45924</v>
      </c>
    </row>
    <row r="18" spans="1:6" x14ac:dyDescent="0.3">
      <c r="A18">
        <v>1007</v>
      </c>
      <c r="B18" t="s">
        <v>11</v>
      </c>
      <c r="C18">
        <v>74</v>
      </c>
      <c r="D18" t="str">
        <f t="shared" si="0"/>
        <v>Pass</v>
      </c>
      <c r="E18" t="str">
        <f t="shared" si="1"/>
        <v>First class</v>
      </c>
      <c r="F18" s="2">
        <f t="shared" ca="1" si="3"/>
        <v>45924</v>
      </c>
    </row>
    <row r="19" spans="1:6" x14ac:dyDescent="0.3">
      <c r="A19">
        <v>1008</v>
      </c>
      <c r="B19" t="s">
        <v>12</v>
      </c>
      <c r="C19">
        <v>85</v>
      </c>
      <c r="D19" t="str">
        <f t="shared" si="0"/>
        <v>Pass</v>
      </c>
      <c r="E19" t="str">
        <f t="shared" si="1"/>
        <v>Disctinction</v>
      </c>
      <c r="F19" s="2">
        <f t="shared" ca="1" si="3"/>
        <v>45924</v>
      </c>
    </row>
    <row r="20" spans="1:6" x14ac:dyDescent="0.3">
      <c r="A20">
        <v>1009</v>
      </c>
      <c r="B20" t="s">
        <v>13</v>
      </c>
      <c r="C20">
        <v>98</v>
      </c>
      <c r="D20" t="str">
        <f t="shared" si="0"/>
        <v>Pass</v>
      </c>
      <c r="E20" t="str">
        <f t="shared" si="1"/>
        <v>Disctinction</v>
      </c>
      <c r="F20" s="2">
        <f t="shared" ca="1" si="3"/>
        <v>45924</v>
      </c>
    </row>
    <row r="21" spans="1:6" x14ac:dyDescent="0.3">
      <c r="A21">
        <v>1010</v>
      </c>
      <c r="B21" t="s">
        <v>14</v>
      </c>
      <c r="C21">
        <v>71</v>
      </c>
      <c r="D21" t="str">
        <f t="shared" si="0"/>
        <v>Pass</v>
      </c>
      <c r="E21" t="str">
        <f t="shared" si="1"/>
        <v>First class</v>
      </c>
      <c r="F21" s="2">
        <f t="shared" ca="1" si="3"/>
        <v>45924</v>
      </c>
    </row>
    <row r="22" spans="1:6" x14ac:dyDescent="0.3">
      <c r="A22" s="16">
        <v>1001</v>
      </c>
      <c r="B22" s="16" t="s">
        <v>5</v>
      </c>
      <c r="C22" s="11">
        <v>69</v>
      </c>
      <c r="D22" t="str">
        <f t="shared" si="0"/>
        <v>Pass</v>
      </c>
      <c r="E22" t="str">
        <f t="shared" si="1"/>
        <v>First class</v>
      </c>
      <c r="F22" s="1">
        <f t="shared" ca="1" si="3"/>
        <v>45923</v>
      </c>
    </row>
    <row r="23" spans="1:6" x14ac:dyDescent="0.3">
      <c r="A23" s="16">
        <v>1002</v>
      </c>
      <c r="B23" s="16" t="s">
        <v>6</v>
      </c>
      <c r="C23">
        <v>49</v>
      </c>
      <c r="D23" t="str">
        <f t="shared" si="0"/>
        <v>Pass</v>
      </c>
      <c r="E23" t="str">
        <f t="shared" si="1"/>
        <v>Pass</v>
      </c>
      <c r="F23" s="1">
        <f t="shared" ca="1" si="3"/>
        <v>45923</v>
      </c>
    </row>
    <row r="24" spans="1:6" x14ac:dyDescent="0.3">
      <c r="A24" s="16">
        <v>1003</v>
      </c>
      <c r="B24" s="16" t="s">
        <v>7</v>
      </c>
      <c r="C24">
        <v>32</v>
      </c>
      <c r="D24" t="str">
        <f t="shared" si="0"/>
        <v>Fail</v>
      </c>
      <c r="E24" t="str">
        <f t="shared" si="1"/>
        <v>Fail</v>
      </c>
      <c r="F24" s="1">
        <f t="shared" ca="1" si="3"/>
        <v>45923</v>
      </c>
    </row>
    <row r="25" spans="1:6" x14ac:dyDescent="0.3">
      <c r="A25" s="16">
        <v>1004</v>
      </c>
      <c r="B25" s="16" t="s">
        <v>8</v>
      </c>
      <c r="C25">
        <v>85</v>
      </c>
      <c r="D25" t="str">
        <f t="shared" si="0"/>
        <v>Pass</v>
      </c>
      <c r="E25" t="str">
        <f t="shared" si="1"/>
        <v>Disctinction</v>
      </c>
      <c r="F25" s="1">
        <f t="shared" ca="1" si="3"/>
        <v>45923</v>
      </c>
    </row>
    <row r="26" spans="1:6" x14ac:dyDescent="0.3">
      <c r="A26" s="16">
        <v>1005</v>
      </c>
      <c r="B26" s="16" t="s">
        <v>9</v>
      </c>
      <c r="C26">
        <v>8</v>
      </c>
      <c r="D26" t="str">
        <f t="shared" si="0"/>
        <v>Fail</v>
      </c>
      <c r="E26" t="str">
        <f t="shared" si="1"/>
        <v>Fail</v>
      </c>
      <c r="F26" s="1">
        <f t="shared" ca="1" si="3"/>
        <v>45923</v>
      </c>
    </row>
    <row r="27" spans="1:6" x14ac:dyDescent="0.3">
      <c r="A27" s="16">
        <v>1006</v>
      </c>
      <c r="B27" s="16" t="s">
        <v>10</v>
      </c>
      <c r="C27">
        <v>23</v>
      </c>
      <c r="D27" t="str">
        <f t="shared" si="0"/>
        <v>Fail</v>
      </c>
      <c r="E27" t="str">
        <f t="shared" si="1"/>
        <v>Fail</v>
      </c>
      <c r="F27" s="1">
        <f t="shared" ca="1" si="3"/>
        <v>45923</v>
      </c>
    </row>
    <row r="28" spans="1:6" x14ac:dyDescent="0.3">
      <c r="A28" s="16">
        <v>1007</v>
      </c>
      <c r="B28" s="16" t="s">
        <v>11</v>
      </c>
      <c r="C28">
        <v>22</v>
      </c>
      <c r="D28" t="str">
        <f t="shared" si="0"/>
        <v>Fail</v>
      </c>
      <c r="E28" t="str">
        <f t="shared" si="1"/>
        <v>Fail</v>
      </c>
      <c r="F28" s="1">
        <f t="shared" ca="1" si="3"/>
        <v>45923</v>
      </c>
    </row>
    <row r="29" spans="1:6" x14ac:dyDescent="0.3">
      <c r="A29" s="16">
        <v>1008</v>
      </c>
      <c r="B29" s="16" t="s">
        <v>12</v>
      </c>
      <c r="C29">
        <v>30</v>
      </c>
      <c r="D29" t="str">
        <f t="shared" si="0"/>
        <v>Fail</v>
      </c>
      <c r="E29" t="str">
        <f t="shared" si="1"/>
        <v>Fail</v>
      </c>
      <c r="F29" s="1">
        <f t="shared" ca="1" si="3"/>
        <v>45923</v>
      </c>
    </row>
    <row r="30" spans="1:6" x14ac:dyDescent="0.3">
      <c r="A30" s="16">
        <v>1009</v>
      </c>
      <c r="B30" s="16" t="s">
        <v>13</v>
      </c>
      <c r="C30">
        <v>98</v>
      </c>
      <c r="D30" t="str">
        <f t="shared" si="0"/>
        <v>Pass</v>
      </c>
      <c r="E30" t="str">
        <f t="shared" si="1"/>
        <v>Disctinction</v>
      </c>
      <c r="F30" s="1">
        <f t="shared" ca="1" si="3"/>
        <v>45923</v>
      </c>
    </row>
    <row r="31" spans="1:6" x14ac:dyDescent="0.3">
      <c r="A31" s="16">
        <v>1010</v>
      </c>
      <c r="B31" s="16" t="s">
        <v>14</v>
      </c>
      <c r="C31">
        <v>86</v>
      </c>
      <c r="D31" t="str">
        <f t="shared" si="0"/>
        <v>Pass</v>
      </c>
      <c r="E31" t="str">
        <f t="shared" si="1"/>
        <v>Disctinction</v>
      </c>
      <c r="F31" s="1">
        <f t="shared" ca="1" si="3"/>
        <v>45923</v>
      </c>
    </row>
  </sheetData>
  <autoFilter ref="A1:F31" xr:uid="{95877CA5-9DC0-4B75-9154-BB9A0F5F0707}"/>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 pie chart</vt:lpstr>
      <vt:lpstr>Pivot column bar chart</vt:lpstr>
      <vt:lpstr>Sheet1</vt:lpstr>
      <vt:lpstr>Sheet1 (2)</vt:lpstr>
      <vt:lpstr>Sheet2</vt:lpstr>
      <vt:lpstr>Sheet3</vt:lpstr>
      <vt:lpstr>Sheet4</vt:lpstr>
      <vt:lpstr>Sheet5</vt:lpstr>
      <vt:lpstr>Sheet7</vt:lpstr>
      <vt:lpstr>Pivot with chart</vt:lpstr>
      <vt:lpstr>Pivot calculate</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Kamalakannan A R</dc:creator>
  <cp:lastModifiedBy>prasanth t</cp:lastModifiedBy>
  <dcterms:created xsi:type="dcterms:W3CDTF">2023-12-06T15:08:32Z</dcterms:created>
  <dcterms:modified xsi:type="dcterms:W3CDTF">2025-09-25T10:07:07Z</dcterms:modified>
</cp:coreProperties>
</file>